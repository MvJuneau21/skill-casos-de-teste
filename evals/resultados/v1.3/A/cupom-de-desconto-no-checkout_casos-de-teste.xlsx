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Casos" sheetId="2" state="visible" r:id="rId2"/>
    <sheet name="Rastreabilidade" sheetId="3" state="visible" r:id="rId3"/>
    <sheet name="Dúvidas" sheetId="4" state="visible" r:id="rId4"/>
  </sheets>
  <definedNames>
    <definedName name="_xlnm._FilterDatabase" localSheetId="1" hidden="1">'Casos'!$A$1:$Q$21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9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</cols>
  <sheetData>
    <row r="1">
      <c r="A1" s="1" t="inlineStr">
        <is>
          <t>Cupom de desconto no checkout</t>
        </is>
      </c>
    </row>
    <row r="3">
      <c r="A3" s="2" t="inlineStr">
        <is>
          <t>Status</t>
        </is>
      </c>
      <c r="B3" s="2" t="inlineStr">
        <is>
          <t>Casos</t>
        </is>
      </c>
    </row>
    <row r="4">
      <c r="A4" t="inlineStr">
        <is>
          <t>Não executado</t>
        </is>
      </c>
      <c r="B4">
        <f>COUNTIF(Casos!L2:L21,"Não executado")</f>
        <v/>
      </c>
    </row>
    <row r="5">
      <c r="A5" t="inlineStr">
        <is>
          <t>Passou</t>
        </is>
      </c>
      <c r="B5">
        <f>COUNTIF(Casos!L2:L21,"Passou")</f>
        <v/>
      </c>
    </row>
    <row r="6">
      <c r="A6" t="inlineStr">
        <is>
          <t>Falhou</t>
        </is>
      </c>
      <c r="B6">
        <f>COUNTIF(Casos!L2:L21,"Falhou")</f>
        <v/>
      </c>
    </row>
    <row r="7">
      <c r="A7" t="inlineStr">
        <is>
          <t>Bloqueado</t>
        </is>
      </c>
      <c r="B7">
        <f>COUNTIF(Casos!L2:L21,"Bloqueado")</f>
        <v/>
      </c>
    </row>
    <row r="8">
      <c r="A8" t="inlineStr">
        <is>
          <t>Total</t>
        </is>
      </c>
      <c r="B8">
        <f>COUNTA(Casos!A2:A21)</f>
        <v/>
      </c>
    </row>
    <row r="9">
      <c r="A9" t="inlineStr">
        <is>
          <t>% executado</t>
        </is>
      </c>
      <c r="B9" s="3">
        <f>IF(B8=0,0,(B8-B4)/B8)</f>
        <v/>
      </c>
    </row>
    <row r="11">
      <c r="A11" t="inlineStr">
        <is>
          <t>Falhas em prioridade Alta</t>
        </is>
      </c>
      <c r="B11">
        <f>COUNTIFS(Casos!L2:L21,"Falhou",Casos!F2:F21,"Alta")</f>
        <v/>
      </c>
    </row>
    <row r="12">
      <c r="A12" t="inlineStr">
        <is>
          <t>Dúvidas abertas</t>
        </is>
      </c>
      <c r="B12">
        <f>COUNTA('Dúvidas'!A2:A500)-COUNTA('Dúvidas'!E2:E500)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11" customWidth="1" min="3" max="3"/>
    <col width="10" customWidth="1" min="4" max="4"/>
    <col width="18" customWidth="1" min="5" max="5"/>
    <col width="10" customWidth="1" min="6" max="6"/>
    <col width="32" customWidth="1" min="7" max="7"/>
    <col width="28" customWidth="1" min="8" max="8"/>
    <col width="46" customWidth="1" min="9" max="9"/>
    <col width="40" customWidth="1" min="10" max="10"/>
    <col width="28" customWidth="1" min="11" max="11"/>
    <col width="14" customWidth="1" min="12" max="12"/>
    <col width="30" customWidth="1" min="13" max="13"/>
    <col width="24" customWidth="1" min="14" max="14"/>
    <col width="14" customWidth="1" min="15" max="15"/>
    <col width="16" customWidth="1" min="16" max="16"/>
    <col width="13" customWidth="1" min="17" max="17"/>
  </cols>
  <sheetData>
    <row r="1">
      <c r="A1" s="4" t="inlineStr">
        <is>
          <t>ID</t>
        </is>
      </c>
      <c r="B1" s="4" t="inlineStr">
        <is>
          <t>Título</t>
        </is>
      </c>
      <c r="C1" s="4" t="inlineStr">
        <is>
          <t>Critérios</t>
        </is>
      </c>
      <c r="D1" s="4" t="inlineStr">
        <is>
          <t>Tipo</t>
        </is>
      </c>
      <c r="E1" s="4" t="inlineStr">
        <is>
          <t>Técnica</t>
        </is>
      </c>
      <c r="F1" s="4" t="inlineStr">
        <is>
          <t>Prioridade</t>
        </is>
      </c>
      <c r="G1" s="4" t="inlineStr">
        <is>
          <t>Pré-condições</t>
        </is>
      </c>
      <c r="H1" s="4" t="inlineStr">
        <is>
          <t>Dados</t>
        </is>
      </c>
      <c r="I1" s="4" t="inlineStr">
        <is>
          <t>Passos</t>
        </is>
      </c>
      <c r="J1" s="4" t="inlineStr">
        <is>
          <t>Resultado esperado</t>
        </is>
      </c>
      <c r="K1" s="4" t="inlineStr">
        <is>
          <t>Depende de</t>
        </is>
      </c>
      <c r="L1" s="4" t="inlineStr">
        <is>
          <t>Status</t>
        </is>
      </c>
      <c r="M1" s="4" t="inlineStr">
        <is>
          <t>Resultado obtido</t>
        </is>
      </c>
      <c r="N1" s="4" t="inlineStr">
        <is>
          <t>Evidência (print/vídeo/log)</t>
        </is>
      </c>
      <c r="O1" s="4" t="inlineStr">
        <is>
          <t>Bug / ticket</t>
        </is>
      </c>
      <c r="P1" s="4" t="inlineStr">
        <is>
          <t>Executado por</t>
        </is>
      </c>
      <c r="Q1" s="4" t="inlineStr">
        <is>
          <t>Data execução</t>
        </is>
      </c>
    </row>
    <row r="2">
      <c r="A2" s="5" t="inlineStr">
        <is>
          <t>CT-01</t>
        </is>
      </c>
      <c r="B2" s="5" t="inlineStr">
        <is>
          <t>NEXI10 no plano Anual reduz o total para R$ 359,10</t>
        </is>
      </c>
      <c r="C2" s="5" t="inlineStr">
        <is>
          <t>CA1</t>
        </is>
      </c>
      <c r="D2" s="5" t="inlineStr">
        <is>
          <t>positivo</t>
        </is>
      </c>
      <c r="E2" s="5" t="inlineStr">
        <is>
          <t>caminho feliz</t>
        </is>
      </c>
      <c r="F2" s="5" t="inlineStr">
        <is>
          <t>Alta</t>
        </is>
      </c>
      <c r="G2" s="5" t="inlineStr">
        <is>
          <t>• Visitante no checkout com o plano Anual (R$ 399,00) selecionado
• Usuário qa.novo01@nexi.test, nunca assinou</t>
        </is>
      </c>
      <c r="H2" s="5" t="inlineStr">
        <is>
          <t>cupom: NEXI10 (10%, validade 31/12/2026)
plano: Anual R$ 399,00</t>
        </is>
      </c>
      <c r="I2" s="5" t="inlineStr">
        <is>
          <t>1. Informar NEXI10 no campo de cupom
2. Clicar em Aplicar</t>
        </is>
      </c>
      <c r="J2" s="5" t="inlineStr">
        <is>
          <t>Total exibido muda de R$ 399,00 para R$ 359,10 (desconto de R$ 39,90)</t>
        </is>
      </c>
      <c r="K2" s="5" t="inlineStr"/>
      <c r="L2" s="5" t="inlineStr">
        <is>
          <t>Não executado</t>
        </is>
      </c>
      <c r="M2" s="5" t="inlineStr"/>
      <c r="N2" s="5" t="inlineStr"/>
      <c r="O2" s="5" t="inlineStr"/>
      <c r="P2" s="5" t="inlineStr"/>
      <c r="Q2" s="5" t="inlineStr"/>
    </row>
    <row r="3">
      <c r="A3" s="5" t="inlineStr">
        <is>
          <t>CT-02</t>
        </is>
      </c>
      <c r="B3" s="5" t="inlineStr">
        <is>
          <t>NEXI10 no plano Mensal reduz o total para R$ 35,91</t>
        </is>
      </c>
      <c r="C3" s="5" t="inlineStr">
        <is>
          <t>CA1</t>
        </is>
      </c>
      <c r="D3" s="5" t="inlineStr">
        <is>
          <t>positivo</t>
        </is>
      </c>
      <c r="E3" s="5" t="inlineStr">
        <is>
          <t>partição de equivalência</t>
        </is>
      </c>
      <c r="F3" s="5" t="inlineStr">
        <is>
          <t>Média</t>
        </is>
      </c>
      <c r="G3" s="5" t="inlineStr">
        <is>
          <t>• Visitante no checkout com o plano Mensal (R$ 39,90) selecionado
• Usuário qa.novo02@nexi.test, nunca assinou</t>
        </is>
      </c>
      <c r="H3" s="5" t="inlineStr">
        <is>
          <t>cupom: NEXI10 (10%, validade 31/12/2026)
plano: Mensal R$ 39,90</t>
        </is>
      </c>
      <c r="I3" s="5" t="inlineStr">
        <is>
          <t>1. Informar NEXI10 no campo de cupom
2. Clicar em Aplicar</t>
        </is>
      </c>
      <c r="J3" s="5" t="inlineStr">
        <is>
          <t>Total exibido muda de R$ 39,90 para R$ 35,91 (desconto de R$ 3,99)</t>
        </is>
      </c>
      <c r="K3" s="5" t="inlineStr"/>
      <c r="L3" s="5" t="inlineStr">
        <is>
          <t>Não executado</t>
        </is>
      </c>
      <c r="M3" s="5" t="inlineStr"/>
      <c r="N3" s="5" t="inlineStr"/>
      <c r="O3" s="5" t="inlineStr"/>
      <c r="P3" s="5" t="inlineStr"/>
      <c r="Q3" s="5" t="inlineStr"/>
    </row>
    <row r="4">
      <c r="A4" s="5" t="inlineStr">
        <is>
          <t>CT-03</t>
        </is>
      </c>
      <c r="B4" s="5" t="inlineStr">
        <is>
          <t>Cupom no limite mínimo de 5% (MINIMO5) aplica R$ 19,95 de desconto no Anual</t>
        </is>
      </c>
      <c r="C4" s="5" t="inlineStr">
        <is>
          <t>CA1</t>
        </is>
      </c>
      <c r="D4" s="5" t="inlineStr">
        <is>
          <t>borda</t>
        </is>
      </c>
      <c r="E4" s="5" t="inlineStr">
        <is>
          <t>valor limite</t>
        </is>
      </c>
      <c r="F4" s="5" t="inlineStr">
        <is>
          <t>Média</t>
        </is>
      </c>
      <c r="G4" s="5" t="inlineStr">
        <is>
          <t>• Visitante no checkout com o plano Anual (R$ 399,00) selecionado
• Usuário qa.novo03@nexi.test, nunca assinou</t>
        </is>
      </c>
      <c r="H4" s="5" t="inlineStr">
        <is>
          <t>cupom: MINIMO5 (5%, validade 31/12/2026)
plano: Anual R$ 399,00</t>
        </is>
      </c>
      <c r="I4" s="5" t="inlineStr">
        <is>
          <t>1. Informar MINIMO5 no campo de cupom
2. Clicar em Aplicar</t>
        </is>
      </c>
      <c r="J4" s="5" t="inlineStr">
        <is>
          <t>Total exibido muda de R$ 399,00 para R$ 379,05</t>
        </is>
      </c>
      <c r="K4" s="5" t="inlineStr"/>
      <c r="L4" s="5" t="inlineStr">
        <is>
          <t>Não executado</t>
        </is>
      </c>
      <c r="M4" s="5" t="inlineStr"/>
      <c r="N4" s="5" t="inlineStr"/>
      <c r="O4" s="5" t="inlineStr"/>
      <c r="P4" s="5" t="inlineStr"/>
      <c r="Q4" s="5" t="inlineStr"/>
    </row>
    <row r="5">
      <c r="A5" s="5" t="inlineStr">
        <is>
          <t>CT-04</t>
        </is>
      </c>
      <c r="B5" s="5" t="inlineStr">
        <is>
          <t>Cupom no limite máximo de 50% (BEMVINDO50) para quem nunca assinou deixa o Mensal em R$ 19,95</t>
        </is>
      </c>
      <c r="C5" s="5" t="inlineStr">
        <is>
          <t>CA1, CA6</t>
        </is>
      </c>
      <c r="D5" s="5" t="inlineStr">
        <is>
          <t>borda</t>
        </is>
      </c>
      <c r="E5" s="5" t="inlineStr">
        <is>
          <t>valor limite</t>
        </is>
      </c>
      <c r="F5" s="5" t="inlineStr">
        <is>
          <t>Alta</t>
        </is>
      </c>
      <c r="G5" s="5" t="inlineStr">
        <is>
          <t>• Visitante no checkout com o plano Mensal (R$ 39,90) selecionado
• Usuário qa.novo04@nexi.test, conta sem nenhuma assinatura anterior</t>
        </is>
      </c>
      <c r="H5" s="5" t="inlineStr">
        <is>
          <t>cupom: BEMVINDO50 (50%, primeira assinatura, validade 31/12/2026)
plano: Mensal R$ 39,90</t>
        </is>
      </c>
      <c r="I5" s="5" t="inlineStr">
        <is>
          <t>1. Informar BEMVINDO50 no campo de cupom
2. Clicar em Aplicar</t>
        </is>
      </c>
      <c r="J5" s="5" t="inlineStr">
        <is>
          <t>Total exibido muda de R$ 39,90 para R$ 19,95</t>
        </is>
      </c>
      <c r="K5" s="5" t="inlineStr">
        <is>
          <t>Suposição: O visitante já está identificado (logado ou com e-mail informado) quando aplica o cupom, para o sistema checar o CA6</t>
        </is>
      </c>
      <c r="L5" s="5" t="inlineStr">
        <is>
          <t>Não executado</t>
        </is>
      </c>
      <c r="M5" s="5" t="inlineStr"/>
      <c r="N5" s="5" t="inlineStr"/>
      <c r="O5" s="5" t="inlineStr"/>
      <c r="P5" s="5" t="inlineStr"/>
      <c r="Q5" s="5" t="inlineStr"/>
    </row>
    <row r="6">
      <c r="A6" s="5" t="inlineStr">
        <is>
          <t>CT-05</t>
        </is>
      </c>
      <c r="B6" s="5" t="inlineStr">
        <is>
          <t>Código de cupom inexistente não altera o total</t>
        </is>
      </c>
      <c r="C6" s="5" t="inlineStr">
        <is>
          <t>CA1</t>
        </is>
      </c>
      <c r="D6" s="5" t="inlineStr">
        <is>
          <t>negativo</t>
        </is>
      </c>
      <c r="E6" s="5" t="inlineStr">
        <is>
          <t>partição de equivalência</t>
        </is>
      </c>
      <c r="F6" s="5" t="inlineStr">
        <is>
          <t>Média</t>
        </is>
      </c>
      <c r="G6" s="5" t="inlineStr">
        <is>
          <t>• Visitante no checkout com o plano Mensal (R$ 39,90) selecionado
• Cupom NEXI99 não cadastrado em homologação</t>
        </is>
      </c>
      <c r="H6" s="5" t="inlineStr">
        <is>
          <t>cupom: NEXI99 (não cadastrado)
plano: Mensal R$ 39,90</t>
        </is>
      </c>
      <c r="I6" s="5" t="inlineStr">
        <is>
          <t>1. Informar NEXI99 no campo de cupom
2. Clicar em Aplicar</t>
        </is>
      </c>
      <c r="J6" s="5" t="inlineStr">
        <is>
          <t>Total exibido continua R$ 39,90 e nenhum desconto aparece no resumo do pedido</t>
        </is>
      </c>
      <c r="K6" s="5" t="inlineStr">
        <is>
          <t>Suposição: Cupom que não existe não aplica desconto (o CA1 só fala de cupom válido)</t>
        </is>
      </c>
      <c r="L6" s="5" t="inlineStr">
        <is>
          <t>Não executado</t>
        </is>
      </c>
      <c r="M6" s="5" t="inlineStr"/>
      <c r="N6" s="5" t="inlineStr"/>
      <c r="O6" s="5" t="inlineStr"/>
      <c r="P6" s="5" t="inlineStr"/>
      <c r="Q6" s="5" t="inlineStr"/>
    </row>
    <row r="7">
      <c r="A7" s="5" t="inlineStr">
        <is>
          <t>CT-06</t>
        </is>
      </c>
      <c r="B7" s="5" t="inlineStr">
        <is>
          <t>MINIMO5 no Mensal expõe o arredondamento de centavos (R$ 1,995 de desconto)</t>
        </is>
      </c>
      <c r="C7" s="5" t="inlineStr">
        <is>
          <t>CA1</t>
        </is>
      </c>
      <c r="D7" s="5" t="inlineStr">
        <is>
          <t>borda</t>
        </is>
      </c>
      <c r="E7" s="5" t="inlineStr">
        <is>
          <t>suposição de erro</t>
        </is>
      </c>
      <c r="F7" s="5" t="inlineStr">
        <is>
          <t>Média</t>
        </is>
      </c>
      <c r="G7" s="5" t="inlineStr">
        <is>
          <t>• Visitante no checkout com o plano Mensal (R$ 39,90) selecionado
• Usuário qa.novo05@nexi.test, nunca assinou
• Bloqueado pela dúvida de arredondamento</t>
        </is>
      </c>
      <c r="H7" s="5" t="inlineStr">
        <is>
          <t>cupom: MINIMO5 (5%, validade 31/12/2026)
plano: Mensal R$ 39,90
conta sem arredondar: 39,90 - 1,995 = 37,905</t>
        </is>
      </c>
      <c r="I7" s="5" t="inlineStr">
        <is>
          <t>1. Informar MINIMO5 no campo de cupom
2. Clicar em Aplicar
3. Anotar o total exibido com 2 casas decimais</t>
        </is>
      </c>
      <c r="J7" s="5" t="inlineStr">
        <is>
          <t>Total exibido fica entre R$ 37,90 e R$ 37,91, com 2 casas decimais; o valor exato correto será definido pela regra de arredondamento do PO</t>
        </is>
      </c>
      <c r="K7" s="5" t="inlineStr">
        <is>
          <t>D2 (bloqueia)</t>
        </is>
      </c>
      <c r="L7" s="5" t="inlineStr">
        <is>
          <t>Bloqueado</t>
        </is>
      </c>
      <c r="M7" s="5" t="inlineStr"/>
      <c r="N7" s="5" t="inlineStr"/>
      <c r="O7" s="5" t="inlineStr"/>
      <c r="P7" s="5" t="inlineStr"/>
      <c r="Q7" s="5" t="inlineStr"/>
    </row>
    <row r="8">
      <c r="A8" s="5" t="inlineStr">
        <is>
          <t>CT-07</t>
        </is>
      </c>
      <c r="B8" s="5" t="inlineStr">
        <is>
          <t>Código digitado em minúsculas (nexi10) aplica o mesmo desconto do NEXI10</t>
        </is>
      </c>
      <c r="C8" s="5" t="inlineStr">
        <is>
          <t>CA2</t>
        </is>
      </c>
      <c r="D8" s="5" t="inlineStr">
        <is>
          <t>positivo</t>
        </is>
      </c>
      <c r="E8" s="5" t="inlineStr">
        <is>
          <t>partição de equivalência</t>
        </is>
      </c>
      <c r="F8" s="5" t="inlineStr">
        <is>
          <t>Média</t>
        </is>
      </c>
      <c r="G8" s="5" t="inlineStr">
        <is>
          <t>• Visitante no checkout com o plano Mensal (R$ 39,90) selecionado
• Usuário qa.novo06@nexi.test, nunca assinou</t>
        </is>
      </c>
      <c r="H8" s="5" t="inlineStr">
        <is>
          <t>cupom digitado: nexi10
plano: Mensal R$ 39,90</t>
        </is>
      </c>
      <c r="I8" s="5" t="inlineStr">
        <is>
          <t>1. Informar nexi10 no campo de cupom
2. Clicar em Aplicar</t>
        </is>
      </c>
      <c r="J8" s="5" t="inlineStr">
        <is>
          <t>Total exibido muda de R$ 39,90 para R$ 35,91</t>
        </is>
      </c>
      <c r="K8" s="5" t="inlineStr"/>
      <c r="L8" s="5" t="inlineStr">
        <is>
          <t>Não executado</t>
        </is>
      </c>
      <c r="M8" s="5" t="inlineStr"/>
      <c r="N8" s="5" t="inlineStr"/>
      <c r="O8" s="5" t="inlineStr"/>
      <c r="P8" s="5" t="inlineStr"/>
      <c r="Q8" s="5" t="inlineStr"/>
    </row>
    <row r="9">
      <c r="A9" s="5" t="inlineStr">
        <is>
          <t>CT-08</t>
        </is>
      </c>
      <c r="B9" s="5" t="inlineStr">
        <is>
          <t>Cupom expirado digitado em minúsculas (verao15) também é recusado com "Este cupom expirou"</t>
        </is>
      </c>
      <c r="C9" s="5" t="inlineStr">
        <is>
          <t>CA2, CA3</t>
        </is>
      </c>
      <c r="D9" s="5" t="inlineStr">
        <is>
          <t>negativo</t>
        </is>
      </c>
      <c r="E9" s="5" t="inlineStr">
        <is>
          <t>tabela de decisão</t>
        </is>
      </c>
      <c r="F9" s="5" t="inlineStr">
        <is>
          <t>Média</t>
        </is>
      </c>
      <c r="G9" s="5" t="inlineStr">
        <is>
          <t>• Visitante no checkout com o plano Mensal (R$ 39,90) selecionado
• Data do ambiente posterior a 31/03/2026 (ex.: 14/10/2026)</t>
        </is>
      </c>
      <c r="H9" s="5" t="inlineStr">
        <is>
          <t>cupom digitado: verao15
plano: Mensal R$ 39,90</t>
        </is>
      </c>
      <c r="I9" s="5" t="inlineStr">
        <is>
          <t>1. Informar verao15 no campo de cupom
2. Clicar em Aplicar</t>
        </is>
      </c>
      <c r="J9" s="5" t="inlineStr">
        <is>
          <t>Aparece a mensagem "Este cupom expirou" e o total continua R$ 39,90</t>
        </is>
      </c>
      <c r="K9" s="5" t="inlineStr"/>
      <c r="L9" s="5" t="inlineStr">
        <is>
          <t>Não executado</t>
        </is>
      </c>
      <c r="M9" s="5" t="inlineStr"/>
      <c r="N9" s="5" t="inlineStr"/>
      <c r="O9" s="5" t="inlineStr"/>
      <c r="P9" s="5" t="inlineStr"/>
      <c r="Q9" s="5" t="inlineStr"/>
    </row>
    <row r="10">
      <c r="A10" s="5" t="inlineStr">
        <is>
          <t>CT-09</t>
        </is>
      </c>
      <c r="B10" s="5" t="inlineStr">
        <is>
          <t>Cupom expirado VERAO15 mostra "Este cupom expirou" e não muda o total</t>
        </is>
      </c>
      <c r="C10" s="5" t="inlineStr">
        <is>
          <t>CA3</t>
        </is>
      </c>
      <c r="D10" s="5" t="inlineStr">
        <is>
          <t>negativo</t>
        </is>
      </c>
      <c r="E10" s="5" t="inlineStr">
        <is>
          <t>partição de equivalência</t>
        </is>
      </c>
      <c r="F10" s="5" t="inlineStr">
        <is>
          <t>Alta</t>
        </is>
      </c>
      <c r="G10" s="5" t="inlineStr">
        <is>
          <t>• Visitante no checkout com o plano Anual (R$ 399,00) selecionado
• Data do ambiente posterior a 31/03/2026 (ex.: 14/10/2026)</t>
        </is>
      </c>
      <c r="H10" s="5" t="inlineStr">
        <is>
          <t>cupom: VERAO15 (15%, validade 31/03/2026)
plano: Anual R$ 399,00</t>
        </is>
      </c>
      <c r="I10" s="5" t="inlineStr">
        <is>
          <t>1. Informar VERAO15 no campo de cupom
2. Clicar em Aplicar</t>
        </is>
      </c>
      <c r="J10" s="5" t="inlineStr">
        <is>
          <t>Aparece a mensagem "Este cupom expirou" e o total continua R$ 399,00</t>
        </is>
      </c>
      <c r="K10" s="5" t="inlineStr"/>
      <c r="L10" s="5" t="inlineStr">
        <is>
          <t>Não executado</t>
        </is>
      </c>
      <c r="M10" s="5" t="inlineStr"/>
      <c r="N10" s="5" t="inlineStr"/>
      <c r="O10" s="5" t="inlineStr"/>
      <c r="P10" s="5" t="inlineStr"/>
      <c r="Q10" s="5" t="inlineStr"/>
    </row>
    <row r="11">
      <c r="A11" s="5" t="inlineStr">
        <is>
          <t>CT-10</t>
        </is>
      </c>
      <c r="B11" s="5" t="inlineStr">
        <is>
          <t>NEXI10 aplicado no último minuto da validade (31/12/2026 23:59) ainda dá desconto</t>
        </is>
      </c>
      <c r="C11" s="5" t="inlineStr">
        <is>
          <t>CA3</t>
        </is>
      </c>
      <c r="D11" s="5" t="inlineStr">
        <is>
          <t>borda</t>
        </is>
      </c>
      <c r="E11" s="5" t="inlineStr">
        <is>
          <t>valor limite</t>
        </is>
      </c>
      <c r="F11" s="5" t="inlineStr">
        <is>
          <t>Média</t>
        </is>
      </c>
      <c r="G11" s="5" t="inlineStr">
        <is>
          <t>• Relógio do ambiente de homologação ajustado para 31/12/2026 23:59 (horário de Brasília)
• Visitante no checkout com o plano Mensal (R$ 39,90) selecionado
• Bloqueado pela dúvida sobre o fim da validade</t>
        </is>
      </c>
      <c r="H11" s="5" t="inlineStr">
        <is>
          <t>cupom: NEXI10 (10%, validade 31/12/2026)
plano: Mensal R$ 39,90
data/hora do ambiente: 31/12/2026 23:59 (Brasília)</t>
        </is>
      </c>
      <c r="I11" s="5" t="inlineStr">
        <is>
          <t>1. Informar NEXI10 no campo de cupom
2. Clicar em Aplicar</t>
        </is>
      </c>
      <c r="J11" s="5" t="inlineStr">
        <is>
          <t>Total exibido muda de R$ 39,90 para R$ 35,91 e a mensagem "Este cupom expirou" não aparece</t>
        </is>
      </c>
      <c r="K11" s="5" t="inlineStr">
        <is>
          <t>D3 (bloqueia)
Suposição: A validade de um cupom inclui o dia final inteiro, até 23:59 no horário de Brasília</t>
        </is>
      </c>
      <c r="L11" s="5" t="inlineStr">
        <is>
          <t>Bloqueado</t>
        </is>
      </c>
      <c r="M11" s="5" t="inlineStr"/>
      <c r="N11" s="5" t="inlineStr"/>
      <c r="O11" s="5" t="inlineStr"/>
      <c r="P11" s="5" t="inlineStr"/>
      <c r="Q11" s="5" t="inlineStr"/>
    </row>
    <row r="12">
      <c r="A12" s="5" t="inlineStr">
        <is>
          <t>CT-11</t>
        </is>
      </c>
      <c r="B12" s="5" t="inlineStr">
        <is>
          <t>NEXI10 aplicado em 01/01/2027 00:01 é recusado como expirado</t>
        </is>
      </c>
      <c r="C12" s="5" t="inlineStr">
        <is>
          <t>CA3</t>
        </is>
      </c>
      <c r="D12" s="5" t="inlineStr">
        <is>
          <t>borda</t>
        </is>
      </c>
      <c r="E12" s="5" t="inlineStr">
        <is>
          <t>valor limite</t>
        </is>
      </c>
      <c r="F12" s="5" t="inlineStr">
        <is>
          <t>Média</t>
        </is>
      </c>
      <c r="G12" s="5" t="inlineStr">
        <is>
          <t>• Relógio do ambiente de homologação ajustado para 01/01/2027 00:01 (horário de Brasília)
• Visitante no checkout com o plano Mensal (R$ 39,90) selecionado</t>
        </is>
      </c>
      <c r="H12" s="5" t="inlineStr">
        <is>
          <t>cupom: NEXI10 (10%, validade 31/12/2026)
plano: Mensal R$ 39,90
data/hora do ambiente: 01/01/2027 00:01 (Brasília)</t>
        </is>
      </c>
      <c r="I12" s="5" t="inlineStr">
        <is>
          <t>1. Informar NEXI10 no campo de cupom
2. Clicar em Aplicar</t>
        </is>
      </c>
      <c r="J12" s="5" t="inlineStr">
        <is>
          <t>Aparece a mensagem "Este cupom expirou" e o total continua R$ 39,90</t>
        </is>
      </c>
      <c r="K12" s="5" t="inlineStr">
        <is>
          <t>Suposição: A validade de um cupom inclui o dia final inteiro, até 23:59 no horário de Brasília</t>
        </is>
      </c>
      <c r="L12" s="5" t="inlineStr">
        <is>
          <t>Não executado</t>
        </is>
      </c>
      <c r="M12" s="5" t="inlineStr"/>
      <c r="N12" s="5" t="inlineStr"/>
      <c r="O12" s="5" t="inlineStr"/>
      <c r="P12" s="5" t="inlineStr"/>
      <c r="Q12" s="5" t="inlineStr"/>
    </row>
    <row r="13">
      <c r="A13" s="5" t="inlineStr">
        <is>
          <t>CT-12</t>
        </is>
      </c>
      <c r="B13" s="5" t="inlineStr">
        <is>
          <t>Segundo cupom (MINIMO5) substitui o primeiro (NEXI10), mesmo com desconto menor</t>
        </is>
      </c>
      <c r="C13" s="5" t="inlineStr">
        <is>
          <t>CA4</t>
        </is>
      </c>
      <c r="D13" s="5" t="inlineStr">
        <is>
          <t>positivo</t>
        </is>
      </c>
      <c r="E13" s="5" t="inlineStr">
        <is>
          <t>transição de estado</t>
        </is>
      </c>
      <c r="F13" s="5" t="inlineStr">
        <is>
          <t>Alta</t>
        </is>
      </c>
      <c r="G13" s="5" t="inlineStr">
        <is>
          <t>• Visitante no checkout com o plano Anual (R$ 399,00) selecionado
• NEXI10 já aplicado, total exibido R$ 359,10</t>
        </is>
      </c>
      <c r="H13" s="5" t="inlineStr">
        <is>
          <t>primeiro cupom: NEXI10 (10%)
segundo cupom: MINIMO5 (5%)
plano: Anual R$ 399,00</t>
        </is>
      </c>
      <c r="I13" s="5" t="inlineStr">
        <is>
          <t>1. Informar MINIMO5 no campo de cupom
2. Clicar em Aplicar</t>
        </is>
      </c>
      <c r="J13" s="5" t="inlineStr">
        <is>
          <t>Total exibido passa de R$ 359,10 para R$ 379,05 e o resumo do pedido mostra só o cupom MINIMO5 (não R$ 339,15, que seria 10% + 5% somados)</t>
        </is>
      </c>
      <c r="K13" s="5" t="inlineStr"/>
      <c r="L13" s="5" t="inlineStr">
        <is>
          <t>Não executado</t>
        </is>
      </c>
      <c r="M13" s="5" t="inlineStr"/>
      <c r="N13" s="5" t="inlineStr"/>
      <c r="O13" s="5" t="inlineStr"/>
      <c r="P13" s="5" t="inlineStr"/>
      <c r="Q13" s="5" t="inlineStr"/>
    </row>
    <row r="14">
      <c r="A14" s="5" t="inlineStr">
        <is>
          <t>CT-13</t>
        </is>
      </c>
      <c r="B14" s="5" t="inlineStr">
        <is>
          <t>Aplicar o mesmo cupom NEXI10 duas vezes não dobra o desconto</t>
        </is>
      </c>
      <c r="C14" s="5" t="inlineStr">
        <is>
          <t>CA4</t>
        </is>
      </c>
      <c r="D14" s="5" t="inlineStr">
        <is>
          <t>negativo</t>
        </is>
      </c>
      <c r="E14" s="5" t="inlineStr">
        <is>
          <t>suposição de erro</t>
        </is>
      </c>
      <c r="F14" s="5" t="inlineStr">
        <is>
          <t>Média</t>
        </is>
      </c>
      <c r="G14" s="5" t="inlineStr">
        <is>
          <t>• Visitante no checkout com o plano Mensal (R$ 39,90) selecionado
• NEXI10 já aplicado, total exibido R$ 35,91</t>
        </is>
      </c>
      <c r="H14" s="5" t="inlineStr">
        <is>
          <t>cupom: NEXI10 (10%)
plano: Mensal R$ 39,90</t>
        </is>
      </c>
      <c r="I14" s="5" t="inlineStr">
        <is>
          <t>1. Informar NEXI10 de novo no campo de cupom
2. Clicar em Aplicar</t>
        </is>
      </c>
      <c r="J14" s="5" t="inlineStr">
        <is>
          <t>Total exibido continua R$ 35,91 e o resumo do pedido mostra um único desconto de R$ 3,99</t>
        </is>
      </c>
      <c r="K14" s="5" t="inlineStr"/>
      <c r="L14" s="5" t="inlineStr">
        <is>
          <t>Não executado</t>
        </is>
      </c>
      <c r="M14" s="5" t="inlineStr"/>
      <c r="N14" s="5" t="inlineStr"/>
      <c r="O14" s="5" t="inlineStr"/>
      <c r="P14" s="5" t="inlineStr"/>
      <c r="Q14" s="5" t="inlineStr"/>
    </row>
    <row r="15">
      <c r="A15" s="5" t="inlineStr">
        <is>
          <t>CT-14</t>
        </is>
      </c>
      <c r="B15" s="5" t="inlineStr">
        <is>
          <t>Cupom expirado aplicado por cima do NEXI10 não soma desconto (destino do NEXI10 em dúvida)</t>
        </is>
      </c>
      <c r="C15" s="5" t="inlineStr">
        <is>
          <t>CA3, CA4</t>
        </is>
      </c>
      <c r="D15" s="5" t="inlineStr">
        <is>
          <t>negativo</t>
        </is>
      </c>
      <c r="E15" s="5" t="inlineStr">
        <is>
          <t>tabela de decisão</t>
        </is>
      </c>
      <c r="F15" s="5" t="inlineStr">
        <is>
          <t>Média</t>
        </is>
      </c>
      <c r="G15" s="5" t="inlineStr">
        <is>
          <t>• Visitante no checkout com o plano Anual (R$ 399,00) selecionado
• NEXI10 já aplicado, total exibido R$ 359,10
• Bloqueado pela dúvida sobre segundo cupom recusado</t>
        </is>
      </c>
      <c r="H15" s="5" t="inlineStr">
        <is>
          <t>primeiro cupom: NEXI10 (10%)
segundo cupom: VERAO15 (15%, validade 31/03/2026)
plano: Anual R$ 399,00</t>
        </is>
      </c>
      <c r="I15" s="5" t="inlineStr">
        <is>
          <t>1. Informar VERAO15 no campo de cupom
2. Clicar em Aplicar</t>
        </is>
      </c>
      <c r="J15" s="5" t="inlineStr">
        <is>
          <t>Aparece a mensagem "Este cupom expirou"; o total exibido não é R$ 339,15 (15% do VERAO15) nem R$ 299,25 (10% + 15%); se o NEXI10 continua aplicado será julgado após a resposta do PO</t>
        </is>
      </c>
      <c r="K15" s="5" t="inlineStr">
        <is>
          <t>D4 (bloqueia)</t>
        </is>
      </c>
      <c r="L15" s="5" t="inlineStr">
        <is>
          <t>Bloqueado</t>
        </is>
      </c>
      <c r="M15" s="5" t="inlineStr"/>
      <c r="N15" s="5" t="inlineStr"/>
      <c r="O15" s="5" t="inlineStr"/>
      <c r="P15" s="5" t="inlineStr"/>
      <c r="Q15" s="5" t="inlineStr"/>
    </row>
    <row r="16">
      <c r="A16" s="5" t="inlineStr">
        <is>
          <t>CT-15</t>
        </is>
      </c>
      <c r="B16" s="5" t="inlineStr">
        <is>
          <t>Trocar de Mensal para Anual com NEXI10 aplicado recalcula o desconto sobre R$ 399,00</t>
        </is>
      </c>
      <c r="C16" s="5" t="inlineStr">
        <is>
          <t>CA1</t>
        </is>
      </c>
      <c r="D16" s="5" t="inlineStr">
        <is>
          <t>positivo</t>
        </is>
      </c>
      <c r="E16" s="5" t="inlineStr">
        <is>
          <t>transição de estado</t>
        </is>
      </c>
      <c r="F16" s="5" t="inlineStr">
        <is>
          <t>Média</t>
        </is>
      </c>
      <c r="G16" s="5" t="inlineStr">
        <is>
          <t>• Visitante no checkout com o plano Mensal (R$ 39,90) selecionado
• NEXI10 já aplicado, total exibido R$ 35,91
• Bloqueado pela dúvida sobre troca de plano com cupom aplicado</t>
        </is>
      </c>
      <c r="H16" s="5" t="inlineStr">
        <is>
          <t>cupom: NEXI10 (10%)
plano inicial: Mensal R$ 39,90
plano final: Anual R$ 399,00</t>
        </is>
      </c>
      <c r="I16" s="5" t="inlineStr">
        <is>
          <t>1. Trocar o plano para Anual no checkout
2. Conferir o resumo do pedido</t>
        </is>
      </c>
      <c r="J16" s="5" t="inlineStr">
        <is>
          <t>Total exibido passa a ser R$ 359,10 (10% sobre R$ 399,00), e não R$ 395,01 (desconto de R$ 3,99 do Mensal mantido)</t>
        </is>
      </c>
      <c r="K16" s="5" t="inlineStr">
        <is>
          <t>D5 (bloqueia)
Suposição: Ao trocar de plano com cupom aplicado, o cupom continua e o desconto é recalculado sobre o novo plano</t>
        </is>
      </c>
      <c r="L16" s="5" t="inlineStr">
        <is>
          <t>Bloqueado</t>
        </is>
      </c>
      <c r="M16" s="5" t="inlineStr"/>
      <c r="N16" s="5" t="inlineStr"/>
      <c r="O16" s="5" t="inlineStr"/>
      <c r="P16" s="5" t="inlineStr"/>
      <c r="Q16" s="5" t="inlineStr"/>
    </row>
    <row r="17">
      <c r="A17" s="5" t="inlineStr">
        <is>
          <t>CT-16</t>
        </is>
      </c>
      <c r="B17" s="5" t="inlineStr">
        <is>
          <t>BEMVINDO50 não dá desconto para quem já assinou e cancelou</t>
        </is>
      </c>
      <c r="C17" s="5" t="inlineStr">
        <is>
          <t>CA6</t>
        </is>
      </c>
      <c r="D17" s="5" t="inlineStr">
        <is>
          <t>negativo</t>
        </is>
      </c>
      <c r="E17" s="5" t="inlineStr">
        <is>
          <t>partição de equivalência</t>
        </is>
      </c>
      <c r="F17" s="5" t="inlineStr">
        <is>
          <t>Alta</t>
        </is>
      </c>
      <c r="G17" s="5" t="inlineStr">
        <is>
          <t>• Usuário qa.excancel01@nexi.test assinou o Mensal no passado e cancelou
• Visitante logado com esse usuário no checkout do Mensal (R$ 39,90)</t>
        </is>
      </c>
      <c r="H17" s="5" t="inlineStr">
        <is>
          <t>cupom: BEMVINDO50 (50%, primeira assinatura)
plano: Mensal R$ 39,90</t>
        </is>
      </c>
      <c r="I17" s="5" t="inlineStr">
        <is>
          <t>1. Informar BEMVINDO50 no campo de cupom
2. Clicar em Aplicar</t>
        </is>
      </c>
      <c r="J17" s="5" t="inlineStr">
        <is>
          <t>Total exibido continua R$ 39,90 e nenhum desconto aparece no resumo do pedido</t>
        </is>
      </c>
      <c r="K17" s="5" t="inlineStr">
        <is>
          <t>Suposição: O visitante já está identificado (logado ou com e-mail informado) quando aplica o cupom, para o sistema checar o CA6</t>
        </is>
      </c>
      <c r="L17" s="5" t="inlineStr">
        <is>
          <t>Não executado</t>
        </is>
      </c>
      <c r="M17" s="5" t="inlineStr"/>
      <c r="N17" s="5" t="inlineStr"/>
      <c r="O17" s="5" t="inlineStr"/>
      <c r="P17" s="5" t="inlineStr"/>
      <c r="Q17" s="5" t="inlineStr"/>
    </row>
    <row r="18">
      <c r="A18" s="5" t="inlineStr">
        <is>
          <t>CT-17</t>
        </is>
      </c>
      <c r="B18" s="5" t="inlineStr">
        <is>
          <t>Cupom comum (NEXI10) continua valendo para quem já assinou e cancelou</t>
        </is>
      </c>
      <c r="C18" s="5" t="inlineStr">
        <is>
          <t>CA6</t>
        </is>
      </c>
      <c r="D18" s="5" t="inlineStr">
        <is>
          <t>positivo</t>
        </is>
      </c>
      <c r="E18" s="5" t="inlineStr">
        <is>
          <t>partição de equivalência</t>
        </is>
      </c>
      <c r="F18" s="5" t="inlineStr">
        <is>
          <t>Média</t>
        </is>
      </c>
      <c r="G18" s="5" t="inlineStr">
        <is>
          <t>• Usuário qa.excancel02@nexi.test assinou o Mensal no passado e cancelou
• Visitante logado com esse usuário no checkout do Mensal (R$ 39,90)</t>
        </is>
      </c>
      <c r="H18" s="5" t="inlineStr">
        <is>
          <t>cupom: NEXI10 (10%, sem restrição de primeira assinatura)
plano: Mensal R$ 39,90</t>
        </is>
      </c>
      <c r="I18" s="5" t="inlineStr">
        <is>
          <t>1. Informar NEXI10 no campo de cupom
2. Clicar em Aplicar</t>
        </is>
      </c>
      <c r="J18" s="5" t="inlineStr">
        <is>
          <t>Total exibido muda de R$ 39,90 para R$ 35,91</t>
        </is>
      </c>
      <c r="K18" s="5" t="inlineStr">
        <is>
          <t>Suposição: O visitante já está identificado (logado ou com e-mail informado) quando aplica o cupom, para o sistema checar o CA6</t>
        </is>
      </c>
      <c r="L18" s="5" t="inlineStr">
        <is>
          <t>Não executado</t>
        </is>
      </c>
      <c r="M18" s="5" t="inlineStr"/>
      <c r="N18" s="5" t="inlineStr"/>
      <c r="O18" s="5" t="inlineStr"/>
      <c r="P18" s="5" t="inlineStr"/>
      <c r="Q18" s="5" t="inlineStr"/>
    </row>
    <row r="19">
      <c r="A19" s="5" t="inlineStr">
        <is>
          <t>CT-18</t>
        </is>
      </c>
      <c r="B19" s="5" t="inlineStr">
        <is>
          <t>BEMVINDO50 para quem só usou teste grátis (elegibilidade em dúvida)</t>
        </is>
      </c>
      <c r="C19" s="5" t="inlineStr">
        <is>
          <t>CA6</t>
        </is>
      </c>
      <c r="D19" s="5" t="inlineStr">
        <is>
          <t>borda</t>
        </is>
      </c>
      <c r="E19" s="5" t="inlineStr">
        <is>
          <t>partição de equivalência</t>
        </is>
      </c>
      <c r="F19" s="5" t="inlineStr">
        <is>
          <t>Média</t>
        </is>
      </c>
      <c r="G19" s="5" t="inlineStr">
        <is>
          <t>• Usuário qa.trial01@nexi.test fez teste grátis e nunca pagou uma assinatura
• Visitante logado com esse usuário no checkout do Mensal (R$ 39,90)
• Bloqueado pela dúvida sobre quem conta como 'já assinou'</t>
        </is>
      </c>
      <c r="H19" s="5" t="inlineStr">
        <is>
          <t>cupom: BEMVINDO50 (50%, primeira assinatura)
plano: Mensal R$ 39,90</t>
        </is>
      </c>
      <c r="I19" s="5" t="inlineStr">
        <is>
          <t>1. Informar BEMVINDO50 no campo de cupom
2. Clicar em Aplicar
3. Anotar o total exibido</t>
        </is>
      </c>
      <c r="J19" s="5" t="inlineStr">
        <is>
          <t>O total exibido não fica abaixo de R$ 19,95 nem acima de R$ 39,90; se o cupom deve ser aceito será julgado após a resposta do PO</t>
        </is>
      </c>
      <c r="K19" s="5" t="inlineStr">
        <is>
          <t>D6 (bloqueia)
Suposição: O visitante já está identificado (logado ou com e-mail informado) quando aplica o cupom, para o sistema checar o CA6</t>
        </is>
      </c>
      <c r="L19" s="5" t="inlineStr">
        <is>
          <t>Bloqueado</t>
        </is>
      </c>
      <c r="M19" s="5" t="inlineStr"/>
      <c r="N19" s="5" t="inlineStr"/>
      <c r="O19" s="5" t="inlineStr"/>
      <c r="P19" s="5" t="inlineStr"/>
      <c r="Q19" s="5" t="inlineStr"/>
    </row>
    <row r="20">
      <c r="A20" s="5" t="inlineStr">
        <is>
          <t>CT-19</t>
        </is>
      </c>
      <c r="B20" s="5" t="inlineStr">
        <is>
          <t>Desconto que deixaria o total exatamente em R$ 1,00 é aplicado inteiro</t>
        </is>
      </c>
      <c r="C20" s="5" t="inlineStr">
        <is>
          <t>CA5</t>
        </is>
      </c>
      <c r="D20" s="5" t="inlineStr">
        <is>
          <t>borda</t>
        </is>
      </c>
      <c r="E20" s="5" t="inlineStr">
        <is>
          <t>valor limite</t>
        </is>
      </c>
      <c r="F20" s="5" t="inlineStr">
        <is>
          <t>Média</t>
        </is>
      </c>
      <c r="G20" s="5" t="inlineStr">
        <is>
          <t>• Plano de teste de R$ 2,00 cadastrado em homologação (não existe hoje)
• Usuário qa.novo07@nexi.test, nunca assinou
• Bloqueado pela dúvida sobre como atingir o piso de R$ 1,00</t>
        </is>
      </c>
      <c r="H20" s="5" t="inlineStr">
        <is>
          <t>cupom: BEMVINDO50 (50%)
plano: Plano de teste R$ 2,00
conta: 2,00 - 1,00 = 1,00</t>
        </is>
      </c>
      <c r="I20" s="5" t="inlineStr">
        <is>
          <t>1. Selecionar o plano de teste de R$ 2,00 no checkout
2. Informar BEMVINDO50 no campo de cupom
3. Clicar em Aplicar</t>
        </is>
      </c>
      <c r="J20" s="5" t="inlineStr">
        <is>
          <t>Total exibido muda de R$ 2,00 para R$ 1,00</t>
        </is>
      </c>
      <c r="K20" s="5" t="inlineStr">
        <is>
          <t>D1 (bloqueia)</t>
        </is>
      </c>
      <c r="L20" s="5" t="inlineStr">
        <is>
          <t>Bloqueado</t>
        </is>
      </c>
      <c r="M20" s="5" t="inlineStr"/>
      <c r="N20" s="5" t="inlineStr"/>
      <c r="O20" s="5" t="inlineStr"/>
      <c r="P20" s="5" t="inlineStr"/>
      <c r="Q20" s="5" t="inlineStr"/>
    </row>
    <row r="21">
      <c r="A21" s="5" t="inlineStr">
        <is>
          <t>CT-20</t>
        </is>
      </c>
      <c r="B21" s="5" t="inlineStr">
        <is>
          <t>Desconto que deixaria o total em R$ 0,99 é limitado e o total fica em R$ 1,00</t>
        </is>
      </c>
      <c r="C21" s="5" t="inlineStr">
        <is>
          <t>CA5</t>
        </is>
      </c>
      <c r="D21" s="5" t="inlineStr">
        <is>
          <t>borda</t>
        </is>
      </c>
      <c r="E21" s="5" t="inlineStr">
        <is>
          <t>valor limite</t>
        </is>
      </c>
      <c r="F21" s="5" t="inlineStr">
        <is>
          <t>Média</t>
        </is>
      </c>
      <c r="G21" s="5" t="inlineStr">
        <is>
          <t>• Plano de teste de R$ 1,98 cadastrado em homologação (não existe hoje)
• Usuário qa.novo08@nexi.test, nunca assinou
• Bloqueado pela dúvida sobre como atingir o piso de R$ 1,00</t>
        </is>
      </c>
      <c r="H21" s="5" t="inlineStr">
        <is>
          <t>cupom: BEMVINDO50 (50%)
plano: Plano de teste R$ 1,98
conta sem piso: 1,98 - 0,99 = 0,99</t>
        </is>
      </c>
      <c r="I21" s="5" t="inlineStr">
        <is>
          <t>1. Selecionar o plano de teste de R$ 1,98 no checkout
2. Informar BEMVINDO50 no campo de cupom
3. Clicar em Aplicar</t>
        </is>
      </c>
      <c r="J21" s="5" t="inlineStr">
        <is>
          <t>Total exibido fica em R$ 1,00, e não em R$ 0,99</t>
        </is>
      </c>
      <c r="K21" s="5" t="inlineStr">
        <is>
          <t>D1 (bloqueia)</t>
        </is>
      </c>
      <c r="L21" s="5" t="inlineStr">
        <is>
          <t>Bloqueado</t>
        </is>
      </c>
      <c r="M21" s="5" t="inlineStr"/>
      <c r="N21" s="5" t="inlineStr"/>
      <c r="O21" s="5" t="inlineStr"/>
      <c r="P21" s="5" t="inlineStr"/>
      <c r="Q21" s="5" t="inlineStr"/>
    </row>
  </sheetData>
  <autoFilter ref="A1:Q21"/>
  <conditionalFormatting sqref="L2:L21">
    <cfRule type="cellIs" priority="1" operator="equal" dxfId="0">
      <formula>"Passou"</formula>
    </cfRule>
    <cfRule type="cellIs" priority="2" operator="equal" dxfId="1">
      <formula>"Falhou"</formula>
    </cfRule>
    <cfRule type="cellIs" priority="3" operator="equal" dxfId="2">
      <formula>"Bloqueado"</formula>
    </cfRule>
  </conditionalFormatting>
  <dataValidations count="1">
    <dataValidation sqref="L2:L21" showDropDown="0" showInputMessage="0" showErrorMessage="0" allowBlank="0" type="list">
      <formula1>"Não executado,Passou,Falhou,Bloqueado"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9" customWidth="1" min="23" max="23"/>
  </cols>
  <sheetData>
    <row r="1">
      <c r="A1" s="4" t="inlineStr">
        <is>
          <t>Critério</t>
        </is>
      </c>
      <c r="B1" s="4" t="inlineStr">
        <is>
          <t>Descrição</t>
        </is>
      </c>
      <c r="C1" s="4" t="inlineStr">
        <is>
          <t>CT-01</t>
        </is>
      </c>
      <c r="D1" s="4" t="inlineStr">
        <is>
          <t>CT-02</t>
        </is>
      </c>
      <c r="E1" s="4" t="inlineStr">
        <is>
          <t>CT-03</t>
        </is>
      </c>
      <c r="F1" s="4" t="inlineStr">
        <is>
          <t>CT-04</t>
        </is>
      </c>
      <c r="G1" s="4" t="inlineStr">
        <is>
          <t>CT-05</t>
        </is>
      </c>
      <c r="H1" s="4" t="inlineStr">
        <is>
          <t>CT-06</t>
        </is>
      </c>
      <c r="I1" s="4" t="inlineStr">
        <is>
          <t>CT-07</t>
        </is>
      </c>
      <c r="J1" s="4" t="inlineStr">
        <is>
          <t>CT-08</t>
        </is>
      </c>
      <c r="K1" s="4" t="inlineStr">
        <is>
          <t>CT-09</t>
        </is>
      </c>
      <c r="L1" s="4" t="inlineStr">
        <is>
          <t>CT-10</t>
        </is>
      </c>
      <c r="M1" s="4" t="inlineStr">
        <is>
          <t>CT-11</t>
        </is>
      </c>
      <c r="N1" s="4" t="inlineStr">
        <is>
          <t>CT-12</t>
        </is>
      </c>
      <c r="O1" s="4" t="inlineStr">
        <is>
          <t>CT-13</t>
        </is>
      </c>
      <c r="P1" s="4" t="inlineStr">
        <is>
          <t>CT-14</t>
        </is>
      </c>
      <c r="Q1" s="4" t="inlineStr">
        <is>
          <t>CT-15</t>
        </is>
      </c>
      <c r="R1" s="4" t="inlineStr">
        <is>
          <t>CT-16</t>
        </is>
      </c>
      <c r="S1" s="4" t="inlineStr">
        <is>
          <t>CT-17</t>
        </is>
      </c>
      <c r="T1" s="4" t="inlineStr">
        <is>
          <t>CT-18</t>
        </is>
      </c>
      <c r="U1" s="4" t="inlineStr">
        <is>
          <t>CT-19</t>
        </is>
      </c>
      <c r="V1" s="4" t="inlineStr">
        <is>
          <t>CT-20</t>
        </is>
      </c>
      <c r="W1" s="4" t="inlineStr">
        <is>
          <t>Nº casos</t>
        </is>
      </c>
    </row>
    <row r="2">
      <c r="A2" t="inlineStr">
        <is>
          <t>CA1</t>
        </is>
      </c>
      <c r="B2" s="5" t="inlineStr">
        <is>
          <t>Cupom válido aplica desconto percentual (entre 5% e 50%) sobre o valor do plano escolhido</t>
        </is>
      </c>
      <c r="C2" s="6" t="inlineStr">
        <is>
          <t>X</t>
        </is>
      </c>
      <c r="D2" s="6" t="inlineStr">
        <is>
          <t>X</t>
        </is>
      </c>
      <c r="E2" s="6" t="inlineStr">
        <is>
          <t>X</t>
        </is>
      </c>
      <c r="F2" s="6" t="inlineStr">
        <is>
          <t>X</t>
        </is>
      </c>
      <c r="G2" s="6" t="inlineStr">
        <is>
          <t>X</t>
        </is>
      </c>
      <c r="H2" s="6" t="inlineStr">
        <is>
          <t>X</t>
        </is>
      </c>
      <c r="I2" s="6" t="inlineStr"/>
      <c r="J2" s="6" t="inlineStr"/>
      <c r="K2" s="6" t="inlineStr"/>
      <c r="L2" s="6" t="inlineStr"/>
      <c r="M2" s="6" t="inlineStr"/>
      <c r="N2" s="6" t="inlineStr"/>
      <c r="O2" s="6" t="inlineStr"/>
      <c r="P2" s="6" t="inlineStr"/>
      <c r="Q2" s="6" t="inlineStr">
        <is>
          <t>X</t>
        </is>
      </c>
      <c r="R2" s="6" t="inlineStr"/>
      <c r="S2" s="6" t="inlineStr"/>
      <c r="T2" s="6" t="inlineStr"/>
      <c r="U2" s="6" t="inlineStr"/>
      <c r="V2" s="6" t="inlineStr"/>
      <c r="W2" s="6" t="n">
        <v>7</v>
      </c>
    </row>
    <row r="3">
      <c r="A3" t="inlineStr">
        <is>
          <t>CA2</t>
        </is>
      </c>
      <c r="B3" s="5" t="inlineStr">
        <is>
          <t>O código do cupom não diferencia maiúsculas de minúsculas</t>
        </is>
      </c>
      <c r="C3" s="6" t="inlineStr"/>
      <c r="D3" s="6" t="inlineStr"/>
      <c r="E3" s="6" t="inlineStr"/>
      <c r="F3" s="6" t="inlineStr"/>
      <c r="G3" s="6" t="inlineStr"/>
      <c r="H3" s="6" t="inlineStr"/>
      <c r="I3" s="6" t="inlineStr">
        <is>
          <t>X</t>
        </is>
      </c>
      <c r="J3" s="6" t="inlineStr">
        <is>
          <t>X</t>
        </is>
      </c>
      <c r="K3" s="6" t="inlineStr"/>
      <c r="L3" s="6" t="inlineStr"/>
      <c r="M3" s="6" t="inlineStr"/>
      <c r="N3" s="6" t="inlineStr"/>
      <c r="O3" s="6" t="inlineStr"/>
      <c r="P3" s="6" t="inlineStr"/>
      <c r="Q3" s="6" t="inlineStr"/>
      <c r="R3" s="6" t="inlineStr"/>
      <c r="S3" s="6" t="inlineStr"/>
      <c r="T3" s="6" t="inlineStr"/>
      <c r="U3" s="6" t="inlineStr"/>
      <c r="V3" s="6" t="inlineStr"/>
      <c r="W3" s="6" t="n">
        <v>2</v>
      </c>
    </row>
    <row r="4">
      <c r="A4" t="inlineStr">
        <is>
          <t>CA3</t>
        </is>
      </c>
      <c r="B4" s="5" t="inlineStr">
        <is>
          <t>Cupom fora da validade mostra "Este cupom expirou" e o valor não muda</t>
        </is>
      </c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>
        <is>
          <t>X</t>
        </is>
      </c>
      <c r="K4" s="6" t="inlineStr">
        <is>
          <t>X</t>
        </is>
      </c>
      <c r="L4" s="6" t="inlineStr">
        <is>
          <t>X</t>
        </is>
      </c>
      <c r="M4" s="6" t="inlineStr">
        <is>
          <t>X</t>
        </is>
      </c>
      <c r="N4" s="6" t="inlineStr"/>
      <c r="O4" s="6" t="inlineStr"/>
      <c r="P4" s="6" t="inlineStr">
        <is>
          <t>X</t>
        </is>
      </c>
      <c r="Q4" s="6" t="inlineStr"/>
      <c r="R4" s="6" t="inlineStr"/>
      <c r="S4" s="6" t="inlineStr"/>
      <c r="T4" s="6" t="inlineStr"/>
      <c r="U4" s="6" t="inlineStr"/>
      <c r="V4" s="6" t="inlineStr"/>
      <c r="W4" s="6" t="n">
        <v>5</v>
      </c>
    </row>
    <row r="5">
      <c r="A5" t="inlineStr">
        <is>
          <t>CA4</t>
        </is>
      </c>
      <c r="B5" s="5" t="inlineStr">
        <is>
          <t>Só um cupom por pedido; aplicar um segundo cupom substitui o primeiro</t>
        </is>
      </c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>
        <is>
          <t>X</t>
        </is>
      </c>
      <c r="O5" s="6" t="inlineStr">
        <is>
          <t>X</t>
        </is>
      </c>
      <c r="P5" s="6" t="inlineStr">
        <is>
          <t>X</t>
        </is>
      </c>
      <c r="Q5" s="6" t="inlineStr"/>
      <c r="R5" s="6" t="inlineStr"/>
      <c r="S5" s="6" t="inlineStr"/>
      <c r="T5" s="6" t="inlineStr"/>
      <c r="U5" s="6" t="inlineStr"/>
      <c r="V5" s="6" t="inlineStr"/>
      <c r="W5" s="6" t="n">
        <v>3</v>
      </c>
    </row>
    <row r="6">
      <c r="A6" t="inlineStr">
        <is>
          <t>CA5</t>
        </is>
      </c>
      <c r="B6" s="5" t="inlineStr">
        <is>
          <t>O valor final nunca fica abaixo de R$ 1,00</t>
        </is>
      </c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>
        <is>
          <t>X</t>
        </is>
      </c>
      <c r="V6" s="6" t="inlineStr">
        <is>
          <t>X</t>
        </is>
      </c>
      <c r="W6" s="6" t="n">
        <v>2</v>
      </c>
    </row>
    <row r="7">
      <c r="A7" t="inlineStr">
        <is>
          <t>CA6</t>
        </is>
      </c>
      <c r="B7" s="5" t="inlineStr">
        <is>
          <t>Cupons do tipo "primeira assinatura" só valem para quem nunca assinou o Nexi Play</t>
        </is>
      </c>
      <c r="C7" s="6" t="inlineStr"/>
      <c r="D7" s="6" t="inlineStr"/>
      <c r="E7" s="6" t="inlineStr"/>
      <c r="F7" s="6" t="inlineStr">
        <is>
          <t>X</t>
        </is>
      </c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>
        <is>
          <t>X</t>
        </is>
      </c>
      <c r="S7" s="6" t="inlineStr">
        <is>
          <t>X</t>
        </is>
      </c>
      <c r="T7" s="6" t="inlineStr">
        <is>
          <t>X</t>
        </is>
      </c>
      <c r="U7" s="6" t="inlineStr"/>
      <c r="V7" s="6" t="inlineStr"/>
      <c r="W7" s="6" t="n">
        <v>4</v>
      </c>
    </row>
  </sheetData>
  <conditionalFormatting sqref="W2:W7">
    <cfRule type="cellIs" priority="1" operator="equal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12" customWidth="1" min="3" max="3"/>
    <col width="30" customWidth="1" min="4" max="4"/>
    <col width="40" customWidth="1" min="5" max="5"/>
    <col width="16" customWidth="1" min="6" max="6"/>
  </cols>
  <sheetData>
    <row r="1">
      <c r="A1" s="4" t="inlineStr">
        <is>
          <t>Nº</t>
        </is>
      </c>
      <c r="B1" s="4" t="inlineStr">
        <is>
          <t>Dúvida</t>
        </is>
      </c>
      <c r="C1" s="4" t="inlineStr">
        <is>
          <t>Critério</t>
        </is>
      </c>
      <c r="D1" s="4" t="inlineStr">
        <is>
          <t>Impacto</t>
        </is>
      </c>
      <c r="E1" s="4" t="inlineStr">
        <is>
          <t>Resposta do PO</t>
        </is>
      </c>
      <c r="F1" s="4" t="inlineStr">
        <is>
          <t>Respondido por</t>
        </is>
      </c>
    </row>
    <row r="2">
      <c r="A2" s="5" t="inlineStr">
        <is>
          <t>D1</t>
        </is>
      </c>
      <c r="B2" s="5" t="inlineStr">
        <is>
          <t>Com os planos atuais (R$ 39,90 e R$ 399,00) e cupons de no máximo 50%, o menor total possível é R$ 19,95, então o piso de R$ 1,00 nunca é atingido. Em que situação o CA5 vale (outro plano, preço promocional, cupom acima de 50%)? Podemos cadastrar em homologação planos de teste de R$ 2,00 e R$ 1,98?</t>
        </is>
      </c>
      <c r="C2" s="5" t="inlineStr">
        <is>
          <t>CA5</t>
        </is>
      </c>
      <c r="D2" s="5" t="inlineStr">
        <is>
          <t>Sem um preço que chegue perto de R$ 1,00 não há como testar o CA5</t>
        </is>
      </c>
      <c r="E2" s="5" t="inlineStr"/>
      <c r="F2" s="5" t="inlineStr"/>
    </row>
    <row r="3">
      <c r="A3" s="5" t="inlineStr">
        <is>
          <t>D2</t>
        </is>
      </c>
      <c r="B3" s="5" t="inlineStr">
        <is>
          <t>Como arredondar centavos do desconto? Ex.: 5% de R$ 39,90 = R$ 1,995; o total fica R$ 37,90 ou R$ 37,91?</t>
        </is>
      </c>
      <c r="C3" s="5" t="inlineStr">
        <is>
          <t>CA1</t>
        </is>
      </c>
      <c r="D3" s="5" t="inlineStr">
        <is>
          <t>Define o valor exato cobrado em descontos que não dão conta exata</t>
        </is>
      </c>
      <c r="E3" s="5" t="inlineStr"/>
      <c r="F3" s="5" t="inlineStr"/>
    </row>
    <row r="4">
      <c r="A4" s="5" t="inlineStr">
        <is>
          <t>D3</t>
        </is>
      </c>
      <c r="B4" s="5" t="inlineStr">
        <is>
          <t>A validade 31/12/2026 inclui o dia 31 inteiro (até 23:59:59)? Em qual fuso horário?</t>
        </is>
      </c>
      <c r="C4" s="5" t="inlineStr">
        <is>
          <t>CA3</t>
        </is>
      </c>
      <c r="D4" s="5" t="inlineStr">
        <is>
          <t>Define se o cupom é aceito no último minuto do dia de validade</t>
        </is>
      </c>
      <c r="E4" s="5" t="inlineStr"/>
      <c r="F4" s="5" t="inlineStr"/>
    </row>
    <row r="5">
      <c r="A5" s="5" t="inlineStr">
        <is>
          <t>D4</t>
        </is>
      </c>
      <c r="B5" s="5" t="inlineStr">
        <is>
          <t>Quando o segundo cupom é recusado (expirado, inexistente ou não elegível), o primeiro cupom continua aplicado ou é removido? O CA3 diz que o valor não muda e o CA4 diz que o segundo substitui o primeiro.</t>
        </is>
      </c>
      <c r="C5" s="5" t="inlineStr">
        <is>
          <t>CA3, CA4</t>
        </is>
      </c>
      <c r="D5" s="5" t="inlineStr">
        <is>
          <t>Define se o total fica R$ 359,10 ou volta para R$ 399,00</t>
        </is>
      </c>
      <c r="E5" s="5" t="inlineStr"/>
      <c r="F5" s="5" t="inlineStr"/>
    </row>
    <row r="6">
      <c r="A6" s="5" t="inlineStr">
        <is>
          <t>D5</t>
        </is>
      </c>
      <c r="B6" s="5" t="inlineStr">
        <is>
          <t>Ao trocar de plano no checkout com cupom já aplicado, o cupom continua e o desconto é recalculado sobre o novo plano?</t>
        </is>
      </c>
      <c r="C6" s="5" t="inlineStr">
        <is>
          <t>CA1</t>
        </is>
      </c>
      <c r="D6" s="5" t="inlineStr">
        <is>
          <t>Risco de cobrar o Anual com o desconto calculado sobre o Mensal</t>
        </is>
      </c>
      <c r="E6" s="5" t="inlineStr"/>
      <c r="F6" s="5" t="inlineStr"/>
    </row>
    <row r="7">
      <c r="A7" s="5" t="inlineStr">
        <is>
          <t>D6</t>
        </is>
      </c>
      <c r="B7" s="5" t="inlineStr">
        <is>
          <t>Como o sistema decide que alguém 'nunca assinou' (conta/e-mail, CPF ou cartão)? Quem só fez teste grátis, sem pagar, conta como assinante?</t>
        </is>
      </c>
      <c r="C7" s="5" t="inlineStr">
        <is>
          <t>CA6</t>
        </is>
      </c>
      <c r="D7" s="5" t="inlineStr">
        <is>
          <t>Define a elegibilidade ao BEMVINDO50 e se um ex-assinante consegue o cupom criando outra conta</t>
        </is>
      </c>
      <c r="E7" s="5" t="inlineStr"/>
      <c r="F7" s="5" t="inlineStr"/>
    </row>
    <row r="8">
      <c r="A8" s="5" t="inlineStr">
        <is>
          <t>D7</t>
        </is>
      </c>
      <c r="B8" s="5" t="inlineStr">
        <is>
          <t>A história diz 'pagar menos na primeira cobrança'. O desconto vale só na primeira cobrança ou também nas renovações? No Anual, vale para o primeiro ano inteiro?</t>
        </is>
      </c>
      <c r="C8" s="5" t="inlineStr">
        <is>
          <t>CA1</t>
        </is>
      </c>
      <c r="D8" s="5" t="inlineStr">
        <is>
          <t>Os casos conferem só o total do checkout; a cobrança da renovação não está coberta</t>
        </is>
      </c>
      <c r="E8" s="5" t="inlineStr"/>
      <c r="F8" s="5" t="inlineStr"/>
    </row>
    <row r="9">
      <c r="A9" s="5" t="inlineStr">
        <is>
          <t>D8</t>
        </is>
      </c>
      <c r="B9" s="5" t="inlineStr">
        <is>
          <t>Quais mensagens aparecem para código inexistente e para cupom de primeira assinatura recusado? Espaços antes ou depois do código (' NEXI10 ') são ignorados?</t>
        </is>
      </c>
      <c r="C9" s="5" t="inlineStr">
        <is>
          <t>CA1, CA2, CA6</t>
        </is>
      </c>
      <c r="D9" s="5" t="inlineStr">
        <is>
          <t>CT-05 e CT-16 conferem só o total, não a mensagem; não há caso para espaços no código</t>
        </is>
      </c>
      <c r="E9" s="5" t="inlineStr"/>
      <c r="F9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2026-10-14T13:26:04Z</dcterms:created>
  <dcterms:modified xsi:type="dcterms:W3CDTF">2026-10-14T13:26:04Z</dcterms:modified>
</cp:coreProperties>
</file>