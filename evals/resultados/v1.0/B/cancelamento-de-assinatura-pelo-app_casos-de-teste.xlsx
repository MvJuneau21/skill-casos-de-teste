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o" sheetId="1" state="visible" r:id="rId1"/>
    <sheet name="Casos" sheetId="2" state="visible" r:id="rId2"/>
    <sheet name="Rastreabilidade" sheetId="3" state="visible" r:id="rId3"/>
    <sheet name="Dúvidas" sheetId="4" state="visible" r:id="rId4"/>
  </sheets>
  <definedNames>
    <definedName name="_xlnm._FilterDatabase" localSheetId="1" hidden="1">'Casos'!$A$1:$O$16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2" fillId="0" borderId="0" pivotButton="0" quotePrefix="0" xfId="0"/>
    <xf numFmtId="0" fontId="1" fillId="2" borderId="0" pivotButton="0" quotePrefix="0" xfId="0"/>
    <xf numFmtId="9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horizontal="center" vertical="top"/>
    </xf>
  </cellXfs>
  <cellStyles count="1">
    <cellStyle name="Normal" xfId="0" builtinId="0" hidden="0"/>
  </cellStyles>
  <dxfs count="3">
    <dxf>
      <fill>
        <patternFill patternType="solid">
          <fgColor rgb="00C6EFCE"/>
        </patternFill>
      </fill>
    </dxf>
    <dxf>
      <fill>
        <patternFill patternType="solid">
          <fgColor rgb="00FFC7CE"/>
        </patternFill>
      </fill>
    </dxf>
    <dxf>
      <fill>
        <patternFill patternType="solid">
          <fgColor rgb="00FFEB9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26" customWidth="1" min="1" max="1"/>
    <col width="12" customWidth="1" min="2" max="2"/>
  </cols>
  <sheetData>
    <row r="1">
      <c r="A1" s="1" t="inlineStr">
        <is>
          <t>Cancelamento de assinatura pelo app</t>
        </is>
      </c>
    </row>
    <row r="3">
      <c r="A3" s="2" t="inlineStr">
        <is>
          <t>Status</t>
        </is>
      </c>
      <c r="B3" s="2" t="inlineStr">
        <is>
          <t>Casos</t>
        </is>
      </c>
    </row>
    <row r="4">
      <c r="A4" t="inlineStr">
        <is>
          <t>Não executado</t>
        </is>
      </c>
      <c r="B4">
        <f>COUNTIF(Casos!K2:K16,"Não executado")</f>
        <v/>
      </c>
    </row>
    <row r="5">
      <c r="A5" t="inlineStr">
        <is>
          <t>Passou</t>
        </is>
      </c>
      <c r="B5">
        <f>COUNTIF(Casos!K2:K16,"Passou")</f>
        <v/>
      </c>
    </row>
    <row r="6">
      <c r="A6" t="inlineStr">
        <is>
          <t>Falhou</t>
        </is>
      </c>
      <c r="B6">
        <f>COUNTIF(Casos!K2:K16,"Falhou")</f>
        <v/>
      </c>
    </row>
    <row r="7">
      <c r="A7" t="inlineStr">
        <is>
          <t>Bloqueado</t>
        </is>
      </c>
      <c r="B7">
        <f>COUNTIF(Casos!K2:K16,"Bloqueado")</f>
        <v/>
      </c>
    </row>
    <row r="8">
      <c r="A8" t="inlineStr">
        <is>
          <t>Total</t>
        </is>
      </c>
      <c r="B8">
        <f>COUNTA(Casos!A2:A16)</f>
        <v/>
      </c>
    </row>
    <row r="9">
      <c r="A9" t="inlineStr">
        <is>
          <t>% executado</t>
        </is>
      </c>
      <c r="B9" s="3">
        <f>IF(B8=0,0,(B8-B4)/B8)</f>
        <v/>
      </c>
    </row>
    <row r="11">
      <c r="A11" t="inlineStr">
        <is>
          <t>Falhas em prioridade Alta</t>
        </is>
      </c>
      <c r="B11">
        <f>COUNTIFS(Casos!K2:K16,"Falhou",Casos!F2:F16,"Alta")</f>
        <v/>
      </c>
    </row>
    <row r="12">
      <c r="A12" t="inlineStr">
        <is>
          <t>Dúvidas abertas</t>
        </is>
      </c>
      <c r="B12">
        <f>COUNTA('Dúvidas'!A2:A500)-COUNTA('Dúvidas'!E2:E500)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34" customWidth="1" min="2" max="2"/>
    <col width="11" customWidth="1" min="3" max="3"/>
    <col width="10" customWidth="1" min="4" max="4"/>
    <col width="18" customWidth="1" min="5" max="5"/>
    <col width="10" customWidth="1" min="6" max="6"/>
    <col width="32" customWidth="1" min="7" max="7"/>
    <col width="28" customWidth="1" min="8" max="8"/>
    <col width="46" customWidth="1" min="9" max="9"/>
    <col width="40" customWidth="1" min="10" max="10"/>
    <col width="14" customWidth="1" min="11" max="11"/>
    <col width="30" customWidth="1" min="12" max="12"/>
    <col width="14" customWidth="1" min="13" max="13"/>
    <col width="16" customWidth="1" min="14" max="14"/>
    <col width="13" customWidth="1" min="15" max="15"/>
  </cols>
  <sheetData>
    <row r="1">
      <c r="A1" s="4" t="inlineStr">
        <is>
          <t>ID</t>
        </is>
      </c>
      <c r="B1" s="4" t="inlineStr">
        <is>
          <t>Título</t>
        </is>
      </c>
      <c r="C1" s="4" t="inlineStr">
        <is>
          <t>Critérios</t>
        </is>
      </c>
      <c r="D1" s="4" t="inlineStr">
        <is>
          <t>Tipo</t>
        </is>
      </c>
      <c r="E1" s="4" t="inlineStr">
        <is>
          <t>Técnica</t>
        </is>
      </c>
      <c r="F1" s="4" t="inlineStr">
        <is>
          <t>Prioridade</t>
        </is>
      </c>
      <c r="G1" s="4" t="inlineStr">
        <is>
          <t>Pré-condições</t>
        </is>
      </c>
      <c r="H1" s="4" t="inlineStr">
        <is>
          <t>Dados</t>
        </is>
      </c>
      <c r="I1" s="4" t="inlineStr">
        <is>
          <t>Passos</t>
        </is>
      </c>
      <c r="J1" s="4" t="inlineStr">
        <is>
          <t>Resultado esperado</t>
        </is>
      </c>
      <c r="K1" s="4" t="inlineStr">
        <is>
          <t>Status</t>
        </is>
      </c>
      <c r="L1" s="4" t="inlineStr">
        <is>
          <t>Resultado obtido</t>
        </is>
      </c>
      <c r="M1" s="4" t="inlineStr">
        <is>
          <t>Bug / ticket</t>
        </is>
      </c>
      <c r="N1" s="4" t="inlineStr">
        <is>
          <t>Executado por</t>
        </is>
      </c>
      <c r="O1" s="4" t="inlineStr">
        <is>
          <t>Data execução</t>
        </is>
      </c>
    </row>
    <row r="2">
      <c r="A2" s="5" t="inlineStr">
        <is>
          <t>CT-01</t>
        </is>
      </c>
      <c r="B2" s="5" t="inlineStr">
        <is>
          <t>Mensal cancelado no 3º dia recebe reembolso integral de R$ 39,90</t>
        </is>
      </c>
      <c r="C2" s="5" t="inlineStr">
        <is>
          <t>CA1, CA3</t>
        </is>
      </c>
      <c r="D2" s="5" t="inlineStr">
        <is>
          <t>positivo</t>
        </is>
      </c>
      <c r="E2" s="5" t="inlineStr">
        <is>
          <t>caminho feliz</t>
        </is>
      </c>
      <c r="F2" s="5" t="inlineStr">
        <is>
          <t>Alta</t>
        </is>
      </c>
      <c r="G2" s="5" t="inlineStr">
        <is>
          <t>• Usuário qa.mensal01@nexiteste.com logado no app
• Plano Mensal R$ 39,90 contratado há 3 dias com o cartão de teste final 1111</t>
        </is>
      </c>
      <c r="H2" s="5" t="inlineStr">
        <is>
          <t>usuário: qa.mensal01@nexiteste.com
plano: Mensal R$ 39,90
dias desde a contratação: 3</t>
        </is>
      </c>
      <c r="I2" s="5" t="inlineStr">
        <is>
          <t>1. Acessar Conta &gt; Assinatura
2. Tocar em Cancelar
3. Confirmar no diálogo "Tem certeza?"
4. Consultar as transações do cartão final 1111 no painel do gateway de homologação</t>
        </is>
      </c>
      <c r="J2" s="5" t="inlineStr">
        <is>
          <t>Conta &gt; Assinatura mostra a assinatura como cancelada; o gateway registra um estorno de R$ 39,90 para a cobrança da contratação</t>
        </is>
      </c>
      <c r="K2" s="5" t="inlineStr">
        <is>
          <t>Não executado</t>
        </is>
      </c>
      <c r="L2" s="5" t="inlineStr"/>
      <c r="M2" s="5" t="inlineStr"/>
      <c r="N2" s="5" t="inlineStr"/>
      <c r="O2" s="5" t="inlineStr"/>
    </row>
    <row r="3">
      <c r="A3" s="5" t="inlineStr">
        <is>
          <t>CT-02</t>
        </is>
      </c>
      <c r="B3" s="5" t="inlineStr">
        <is>
          <t>Tocar em Cancelar abre o diálogo "Tem certeza?" sem cancelar ainda</t>
        </is>
      </c>
      <c r="C3" s="5" t="inlineStr">
        <is>
          <t>CA2</t>
        </is>
      </c>
      <c r="D3" s="5" t="inlineStr">
        <is>
          <t>positivo</t>
        </is>
      </c>
      <c r="E3" s="5" t="inlineStr">
        <is>
          <t>caminho feliz</t>
        </is>
      </c>
      <c r="F3" s="5" t="inlineStr">
        <is>
          <t>Média</t>
        </is>
      </c>
      <c r="G3" s="5" t="inlineStr">
        <is>
          <t>• Usuário qa.mensal02@nexiteste.com logado com plano Mensal R$ 39,90 ativo há 15 dias</t>
        </is>
      </c>
      <c r="H3" s="5" t="inlineStr"/>
      <c r="I3" s="5" t="inlineStr">
        <is>
          <t>1. Acessar Conta &gt; Assinatura
2. Tocar em Cancelar
3. Observar a tela sem responder ao diálogo</t>
        </is>
      </c>
      <c r="J3" s="5" t="inlineStr">
        <is>
          <t>Aparece o diálogo com o texto "Tem certeza?"; enquanto ele está aberto, nenhum estorno é registrado no gateway e o status no banco continua ativo</t>
        </is>
      </c>
      <c r="K3" s="5" t="inlineStr">
        <is>
          <t>Não executado</t>
        </is>
      </c>
      <c r="L3" s="5" t="inlineStr"/>
      <c r="M3" s="5" t="inlineStr"/>
      <c r="N3" s="5" t="inlineStr"/>
      <c r="O3" s="5" t="inlineStr"/>
    </row>
    <row r="4">
      <c r="A4" s="5" t="inlineStr">
        <is>
          <t>CT-03</t>
        </is>
      </c>
      <c r="B4" s="5" t="inlineStr">
        <is>
          <t>Desistir no diálogo "Tem certeza?" mantém a assinatura ativa</t>
        </is>
      </c>
      <c r="C4" s="5" t="inlineStr">
        <is>
          <t>CA1, CA2, CA7</t>
        </is>
      </c>
      <c r="D4" s="5" t="inlineStr">
        <is>
          <t>negativo</t>
        </is>
      </c>
      <c r="E4" s="5" t="inlineStr">
        <is>
          <t>suposição de erro</t>
        </is>
      </c>
      <c r="F4" s="5" t="inlineStr">
        <is>
          <t>Alta</t>
        </is>
      </c>
      <c r="G4" s="5" t="inlineStr">
        <is>
          <t>• Usuário qa.mensal03@nexiteste.com logado com plano Mensal R$ 39,90 ativo há 3 dias
• Nome do botão de desistir não definido (ver dúvida sobre o diálogo)</t>
        </is>
      </c>
      <c r="H4" s="5" t="inlineStr"/>
      <c r="I4" s="5" t="inlineStr">
        <is>
          <t>1. Acessar Conta &gt; Assinatura
2. Tocar em Cancelar
3. No diálogo "Tem certeza?", escolher a opção de não cancelar
4. Consultar o gateway de homologação e a caixa de qa.mensal03@nexiteste.com</t>
        </is>
      </c>
      <c r="J4" s="5" t="inlineStr">
        <is>
          <t>Conta &gt; Assinatura continua mostrando o plano Mensal ativo; nenhum estorno no gateway; nenhum e-mail de cancelamento recebido</t>
        </is>
      </c>
      <c r="K4" s="5" t="inlineStr">
        <is>
          <t>Não executado</t>
        </is>
      </c>
      <c r="L4" s="5" t="inlineStr"/>
      <c r="M4" s="5" t="inlineStr"/>
      <c r="N4" s="5" t="inlineStr"/>
      <c r="O4" s="5" t="inlineStr"/>
    </row>
    <row r="5">
      <c r="A5" s="5" t="inlineStr">
        <is>
          <t>CT-04</t>
        </is>
      </c>
      <c r="B5" s="5" t="inlineStr">
        <is>
          <t>Mensal cancelado no 7º dia ainda recebe reembolso integral de R$ 39,90</t>
        </is>
      </c>
      <c r="C5" s="5" t="inlineStr">
        <is>
          <t>CA3</t>
        </is>
      </c>
      <c r="D5" s="5" t="inlineStr">
        <is>
          <t>borda</t>
        </is>
      </c>
      <c r="E5" s="5" t="inlineStr">
        <is>
          <t>valor limite</t>
        </is>
      </c>
      <c r="F5" s="5" t="inlineStr">
        <is>
          <t>Alta</t>
        </is>
      </c>
      <c r="G5" s="5" t="inlineStr">
        <is>
          <t>• Usuário qa.mensal04@nexiteste.com com plano Mensal R$ 39,90 contratado em 01/10/2026
• Relógio do ambiente ajustado para 08/10/2026 (7 dias corridos após a contratação; ver suposição de contagem)</t>
        </is>
      </c>
      <c r="H5" s="5" t="inlineStr">
        <is>
          <t>contratação: 01/10/2026
data do cancelamento: 08/10/2026</t>
        </is>
      </c>
      <c r="I5" s="5" t="inlineStr">
        <is>
          <t>1. Acessar Conta &gt; Assinatura
2. Tocar em Cancelar
3. Confirmar no diálogo "Tem certeza?"
4. Consultar o gateway de homologação</t>
        </is>
      </c>
      <c r="J5" s="5" t="inlineStr">
        <is>
          <t>O gateway registra um estorno de R$ 39,90</t>
        </is>
      </c>
      <c r="K5" s="5" t="inlineStr">
        <is>
          <t>Não executado</t>
        </is>
      </c>
      <c r="L5" s="5" t="inlineStr"/>
      <c r="M5" s="5" t="inlineStr"/>
      <c r="N5" s="5" t="inlineStr"/>
      <c r="O5" s="5" t="inlineStr"/>
    </row>
    <row r="6">
      <c r="A6" s="5" t="inlineStr">
        <is>
          <t>CT-05</t>
        </is>
      </c>
      <c r="B6" s="5" t="inlineStr">
        <is>
          <t>Mensal cancelado no 8º dia não recebe reembolso</t>
        </is>
      </c>
      <c r="C6" s="5" t="inlineStr">
        <is>
          <t>CA3</t>
        </is>
      </c>
      <c r="D6" s="5" t="inlineStr">
        <is>
          <t>borda</t>
        </is>
      </c>
      <c r="E6" s="5" t="inlineStr">
        <is>
          <t>valor limite</t>
        </is>
      </c>
      <c r="F6" s="5" t="inlineStr">
        <is>
          <t>Alta</t>
        </is>
      </c>
      <c r="G6" s="5" t="inlineStr">
        <is>
          <t>• Usuário qa.mensal05@nexiteste.com com plano Mensal R$ 39,90 contratado em 01/10/2026
• Relógio do ambiente ajustado para 09/10/2026 (8 dias corridos após a contratação)
• Depende da suposição de que mensal após 7 dias não tem reembolso</t>
        </is>
      </c>
      <c r="H6" s="5" t="inlineStr">
        <is>
          <t>contratação: 01/10/2026
data do cancelamento: 09/10/2026</t>
        </is>
      </c>
      <c r="I6" s="5" t="inlineStr">
        <is>
          <t>1. Acessar Conta &gt; Assinatura
2. Tocar em Cancelar
3. Confirmar no diálogo "Tem certeza?"
4. Consultar o gateway de homologação</t>
        </is>
      </c>
      <c r="J6" s="5" t="inlineStr">
        <is>
          <t>Nenhum estorno é registrado no gateway para a cobrança de R$ 39,90</t>
        </is>
      </c>
      <c r="K6" s="5" t="inlineStr">
        <is>
          <t>Não executado</t>
        </is>
      </c>
      <c r="L6" s="5" t="inlineStr"/>
      <c r="M6" s="5" t="inlineStr"/>
      <c r="N6" s="5" t="inlineStr"/>
      <c r="O6" s="5" t="inlineStr"/>
    </row>
    <row r="7">
      <c r="A7" s="5" t="inlineStr">
        <is>
          <t>CT-06</t>
        </is>
      </c>
      <c r="B7" s="5" t="inlineStr">
        <is>
          <t>Anual cancelado no 7º dia recebe reembolso integral de R$ 399,00</t>
        </is>
      </c>
      <c r="C7" s="5" t="inlineStr">
        <is>
          <t>CA3</t>
        </is>
      </c>
      <c r="D7" s="5" t="inlineStr">
        <is>
          <t>borda</t>
        </is>
      </c>
      <c r="E7" s="5" t="inlineStr">
        <is>
          <t>tabela de decisão</t>
        </is>
      </c>
      <c r="F7" s="5" t="inlineStr">
        <is>
          <t>Média</t>
        </is>
      </c>
      <c r="G7" s="5" t="inlineStr">
        <is>
          <t>• Usuário qa.anual01@nexiteste.com com plano Anual R$ 399,00 contratado em 01/10/2026
• Relógio do ambiente ajustado para 08/10/2026</t>
        </is>
      </c>
      <c r="H7" s="5" t="inlineStr">
        <is>
          <t>plano: Anual R$ 399,00
contratação: 01/10/2026
data do cancelamento: 08/10/2026</t>
        </is>
      </c>
      <c r="I7" s="5" t="inlineStr">
        <is>
          <t>1. Acessar Conta &gt; Assinatura
2. Tocar em Cancelar
3. Confirmar no diálogo "Tem certeza?"
4. Consultar o gateway de homologação</t>
        </is>
      </c>
      <c r="J7" s="5" t="inlineStr">
        <is>
          <t>O gateway registra um estorno de R$ 399,00 (integral, e não proporcional)</t>
        </is>
      </c>
      <c r="K7" s="5" t="inlineStr">
        <is>
          <t>Não executado</t>
        </is>
      </c>
      <c r="L7" s="5" t="inlineStr"/>
      <c r="M7" s="5" t="inlineStr"/>
      <c r="N7" s="5" t="inlineStr"/>
      <c r="O7" s="5" t="inlineStr"/>
    </row>
    <row r="8">
      <c r="A8" s="5" t="inlineStr">
        <is>
          <t>CT-07</t>
        </is>
      </c>
      <c r="B8" s="5" t="inlineStr">
        <is>
          <t>Anual cancelado no 8º dia recebe reembolso proporcional de R$ 365,75</t>
        </is>
      </c>
      <c r="C8" s="5" t="inlineStr">
        <is>
          <t>CA6</t>
        </is>
      </c>
      <c r="D8" s="5" t="inlineStr">
        <is>
          <t>borda</t>
        </is>
      </c>
      <c r="E8" s="5" t="inlineStr">
        <is>
          <t>valor limite</t>
        </is>
      </c>
      <c r="F8" s="5" t="inlineStr">
        <is>
          <t>Alta</t>
        </is>
      </c>
      <c r="G8" s="5" t="inlineStr">
        <is>
          <t>• Usuário qa.anual02@nexiteste.com com plano Anual R$ 399,00 contratado em 01/10/2026
• Relógio do ambiente ajustado para 09/10/2026 (1º mês em andamento)
• Depende da suposição de que o mês em andamento conta como usado</t>
        </is>
      </c>
      <c r="H8" s="5" t="inlineStr">
        <is>
          <t>meses não usados: 11
conta: 11 × R$ 33,25 = R$ 365,75</t>
        </is>
      </c>
      <c r="I8" s="5" t="inlineStr">
        <is>
          <t>1. Acessar Conta &gt; Assinatura
2. Tocar em Cancelar
3. Confirmar no diálogo "Tem certeza?"
4. Consultar o gateway de homologação</t>
        </is>
      </c>
      <c r="J8" s="5" t="inlineStr">
        <is>
          <t>O gateway registra um estorno de R$ 365,75 (e não de R$ 399,00)</t>
        </is>
      </c>
      <c r="K8" s="5" t="inlineStr">
        <is>
          <t>Não executado</t>
        </is>
      </c>
      <c r="L8" s="5" t="inlineStr"/>
      <c r="M8" s="5" t="inlineStr"/>
      <c r="N8" s="5" t="inlineStr"/>
      <c r="O8" s="5" t="inlineStr"/>
    </row>
    <row r="9">
      <c r="A9" s="5" t="inlineStr">
        <is>
          <t>CT-08</t>
        </is>
      </c>
      <c r="B9" s="5" t="inlineStr">
        <is>
          <t>Anual cancelado no 4º mês recebe reembolso proporcional de R$ 266,00</t>
        </is>
      </c>
      <c r="C9" s="5" t="inlineStr">
        <is>
          <t>CA1, CA6</t>
        </is>
      </c>
      <c r="D9" s="5" t="inlineStr">
        <is>
          <t>positivo</t>
        </is>
      </c>
      <c r="E9" s="5" t="inlineStr">
        <is>
          <t>caminho feliz</t>
        </is>
      </c>
      <c r="F9" s="5" t="inlineStr">
        <is>
          <t>Alta</t>
        </is>
      </c>
      <c r="G9" s="5" t="inlineStr">
        <is>
          <t>• Usuário qa.anual03@nexiteste.com com plano Anual R$ 399,00 contratado em 01/07/2026
• Data do teste: 14/10/2026 (4º mês em andamento; 3 meses completos)
• Depende da suposição de que o mês em andamento conta como usado</t>
        </is>
      </c>
      <c r="H9" s="5" t="inlineStr">
        <is>
          <t>meses usados: 4 (3 completos + o mês em andamento)
meses não usados: 8
conta: 8 × R$ 33,25 = R$ 266,00</t>
        </is>
      </c>
      <c r="I9" s="5" t="inlineStr">
        <is>
          <t>1. Acessar Conta &gt; Assinatura
2. Tocar em Cancelar
3. Confirmar no diálogo "Tem certeza?"
4. Consultar o gateway de homologação</t>
        </is>
      </c>
      <c r="J9" s="5" t="inlineStr">
        <is>
          <t>O gateway registra um estorno de R$ 266,00</t>
        </is>
      </c>
      <c r="K9" s="5" t="inlineStr">
        <is>
          <t>Não executado</t>
        </is>
      </c>
      <c r="L9" s="5" t="inlineStr"/>
      <c r="M9" s="5" t="inlineStr"/>
      <c r="N9" s="5" t="inlineStr"/>
      <c r="O9" s="5" t="inlineStr"/>
    </row>
    <row r="10">
      <c r="A10" s="5" t="inlineStr">
        <is>
          <t>CT-09</t>
        </is>
      </c>
      <c r="B10" s="5" t="inlineStr">
        <is>
          <t>Anual cancelado no 12º mês fica sem reembolso proporcional</t>
        </is>
      </c>
      <c r="C10" s="5" t="inlineStr">
        <is>
          <t>CA6</t>
        </is>
      </c>
      <c r="D10" s="5" t="inlineStr">
        <is>
          <t>borda</t>
        </is>
      </c>
      <c r="E10" s="5" t="inlineStr">
        <is>
          <t>valor limite</t>
        </is>
      </c>
      <c r="F10" s="5" t="inlineStr">
        <is>
          <t>Média</t>
        </is>
      </c>
      <c r="G10" s="5" t="inlineStr">
        <is>
          <t>• Usuário qa.anual04@nexiteste.com com plano Anual R$ 399,00 contratado em 01/11/2025
• Data do teste: 14/10/2026 (12º mês em andamento)
• Depende da suposição de que o mês em andamento conta como usado</t>
        </is>
      </c>
      <c r="H10" s="5" t="inlineStr">
        <is>
          <t>meses não usados: 0
conta: 0 × R$ 33,25 = R$ 0,00</t>
        </is>
      </c>
      <c r="I10" s="5" t="inlineStr">
        <is>
          <t>1. Acessar Conta &gt; Assinatura
2. Tocar em Cancelar
3. Confirmar no diálogo "Tem certeza?"
4. Consultar o gateway de homologação</t>
        </is>
      </c>
      <c r="J10" s="5" t="inlineStr">
        <is>
          <t>Nenhum estorno é registrado no gateway (nem estorno de R$ 0,00)</t>
        </is>
      </c>
      <c r="K10" s="5" t="inlineStr">
        <is>
          <t>Não executado</t>
        </is>
      </c>
      <c r="L10" s="5" t="inlineStr"/>
      <c r="M10" s="5" t="inlineStr"/>
      <c r="N10" s="5" t="inlineStr"/>
      <c r="O10" s="5" t="inlineStr"/>
    </row>
    <row r="11">
      <c r="A11" s="5" t="inlineStr">
        <is>
          <t>CT-10</t>
        </is>
      </c>
      <c r="B11" s="5" t="inlineStr">
        <is>
          <t>Mensal cancelado no 15º dia continua assistindo até o fim do período pago</t>
        </is>
      </c>
      <c r="C11" s="5" t="inlineStr">
        <is>
          <t>CA4</t>
        </is>
      </c>
      <c r="D11" s="5" t="inlineStr">
        <is>
          <t>positivo</t>
        </is>
      </c>
      <c r="E11" s="5" t="inlineStr">
        <is>
          <t>transição de estado</t>
        </is>
      </c>
      <c r="F11" s="5" t="inlineStr">
        <is>
          <t>Média</t>
        </is>
      </c>
      <c r="G11" s="5" t="inlineStr">
        <is>
          <t>• Usuário qa.mensal06@nexiteste.com com plano Mensal R$ 39,90 contratado em 29/09/2026 (período pago até 29/10/2026)
• Data do teste: 14/10/2026</t>
        </is>
      </c>
      <c r="H11" s="5" t="inlineStr"/>
      <c r="I11" s="5" t="inlineStr">
        <is>
          <t>1. Acessar Conta &gt; Assinatura
2. Tocar em Cancelar
3. Confirmar no diálogo "Tem certeza?"
4. Voltar ao catálogo e dar play em um título</t>
        </is>
      </c>
      <c r="J11" s="5" t="inlineStr">
        <is>
          <t>O título reproduz normalmente depois do cancelamento</t>
        </is>
      </c>
      <c r="K11" s="5" t="inlineStr">
        <is>
          <t>Não executado</t>
        </is>
      </c>
      <c r="L11" s="5" t="inlineStr"/>
      <c r="M11" s="5" t="inlineStr"/>
      <c r="N11" s="5" t="inlineStr"/>
      <c r="O11" s="5" t="inlineStr"/>
    </row>
    <row r="12">
      <c r="A12" s="5" t="inlineStr">
        <is>
          <t>CT-11</t>
        </is>
      </c>
      <c r="B12" s="5" t="inlineStr">
        <is>
          <t>Acesso termina depois da data fim do período pago</t>
        </is>
      </c>
      <c r="C12" s="5" t="inlineStr">
        <is>
          <t>CA4</t>
        </is>
      </c>
      <c r="D12" s="5" t="inlineStr">
        <is>
          <t>borda</t>
        </is>
      </c>
      <c r="E12" s="5" t="inlineStr">
        <is>
          <t>transição de estado</t>
        </is>
      </c>
      <c r="F12" s="5" t="inlineStr">
        <is>
          <t>Média</t>
        </is>
      </c>
      <c r="G12" s="5" t="inlineStr">
        <is>
          <t>• Usuário qa.mensal06@nexiteste.com de CT-10 (cancelado em 14/10/2026, período pago até 29/10/2026)
• Relógio do ambiente avançado para 30/10/2026
• Depende da suposição de que o acesso termina no fim do período pago; tela exibida não definida</t>
        </is>
      </c>
      <c r="H12" s="5" t="inlineStr"/>
      <c r="I12" s="5" t="inlineStr">
        <is>
          <t>1. Abrir o app
2. Dar play no mesmo título de CT-10</t>
        </is>
      </c>
      <c r="J12" s="5" t="inlineStr">
        <is>
          <t>O título não reproduz</t>
        </is>
      </c>
      <c r="K12" s="5" t="inlineStr">
        <is>
          <t>Não executado</t>
        </is>
      </c>
      <c r="L12" s="5" t="inlineStr"/>
      <c r="M12" s="5" t="inlineStr"/>
      <c r="N12" s="5" t="inlineStr"/>
      <c r="O12" s="5" t="inlineStr"/>
    </row>
    <row r="13">
      <c r="A13" s="5" t="inlineStr">
        <is>
          <t>CT-12</t>
        </is>
      </c>
      <c r="B13" s="5" t="inlineStr">
        <is>
          <t>Mensal cancelado após 7 dias não é cobrado na data de renovação</t>
        </is>
      </c>
      <c r="C13" s="5" t="inlineStr">
        <is>
          <t>CA5</t>
        </is>
      </c>
      <c r="D13" s="5" t="inlineStr">
        <is>
          <t>borda</t>
        </is>
      </c>
      <c r="E13" s="5" t="inlineStr">
        <is>
          <t>valor limite</t>
        </is>
      </c>
      <c r="F13" s="5" t="inlineStr">
        <is>
          <t>Alta</t>
        </is>
      </c>
      <c r="G13" s="5" t="inlineStr">
        <is>
          <t>• Usuário qa.mensal06@nexiteste.com de CT-10 (cancelado em 14/10/2026, renovação seria em 29/10/2026)
• Relógio do ambiente avançado para 29/10/2026 e job de renovação executado</t>
        </is>
      </c>
      <c r="H13" s="5" t="inlineStr"/>
      <c r="I13" s="5" t="inlineStr">
        <is>
          <t>1. Consultar as transações do cartão final 1111 no gateway de homologação</t>
        </is>
      </c>
      <c r="J13" s="5" t="inlineStr">
        <is>
          <t>Nenhuma cobrança de R$ 39,90 é registrada em 29/10/2026</t>
        </is>
      </c>
      <c r="K13" s="5" t="inlineStr">
        <is>
          <t>Não executado</t>
        </is>
      </c>
      <c r="L13" s="5" t="inlineStr"/>
      <c r="M13" s="5" t="inlineStr"/>
      <c r="N13" s="5" t="inlineStr"/>
      <c r="O13" s="5" t="inlineStr"/>
    </row>
    <row r="14">
      <c r="A14" s="5" t="inlineStr">
        <is>
          <t>CT-13</t>
        </is>
      </c>
      <c r="B14" s="5" t="inlineStr">
        <is>
          <t>Anual cancelado após 7 dias não é cobrado na renovação anual</t>
        </is>
      </c>
      <c r="C14" s="5" t="inlineStr">
        <is>
          <t>CA5</t>
        </is>
      </c>
      <c r="D14" s="5" t="inlineStr">
        <is>
          <t>positivo</t>
        </is>
      </c>
      <c r="E14" s="5" t="inlineStr">
        <is>
          <t>partição de equivalência</t>
        </is>
      </c>
      <c r="F14" s="5" t="inlineStr">
        <is>
          <t>Média</t>
        </is>
      </c>
      <c r="G14" s="5" t="inlineStr">
        <is>
          <t>• Usuário qa.anual03@nexiteste.com de CT-08 (contratado em 01/07/2026, cancelado em 14/10/2026)
• Relógio do ambiente avançado para 01/07/2027 e job de renovação executado</t>
        </is>
      </c>
      <c r="H14" s="5" t="inlineStr"/>
      <c r="I14" s="5" t="inlineStr">
        <is>
          <t>1. Consultar as transações do cartão do usuário no gateway de homologação</t>
        </is>
      </c>
      <c r="J14" s="5" t="inlineStr">
        <is>
          <t>Nenhuma cobrança de R$ 399,00 é registrada em 01/07/2027</t>
        </is>
      </c>
      <c r="K14" s="5" t="inlineStr">
        <is>
          <t>Não executado</t>
        </is>
      </c>
      <c r="L14" s="5" t="inlineStr"/>
      <c r="M14" s="5" t="inlineStr"/>
      <c r="N14" s="5" t="inlineStr"/>
      <c r="O14" s="5" t="inlineStr"/>
    </row>
    <row r="15">
      <c r="A15" s="5" t="inlineStr">
        <is>
          <t>CT-14</t>
        </is>
      </c>
      <c r="B15" s="5" t="inlineStr">
        <is>
          <t>E-mail de confirmação chega após cancelar</t>
        </is>
      </c>
      <c r="C15" s="5" t="inlineStr">
        <is>
          <t>CA7</t>
        </is>
      </c>
      <c r="D15" s="5" t="inlineStr">
        <is>
          <t>positivo</t>
        </is>
      </c>
      <c r="E15" s="5" t="inlineStr">
        <is>
          <t>caminho feliz</t>
        </is>
      </c>
      <c r="F15" s="5" t="inlineStr">
        <is>
          <t>Média</t>
        </is>
      </c>
      <c r="G15" s="5" t="inlineStr">
        <is>
          <t>• Usuário qa.mensal07@nexiteste.com logado com plano Mensal R$ 39,90 ativo há 15 dias
• Caixa de e-mail de teste acessível (ex.: Mailtrap do ambiente)</t>
        </is>
      </c>
      <c r="H15" s="5" t="inlineStr"/>
      <c r="I15" s="5" t="inlineStr">
        <is>
          <t>1. Acessar Conta &gt; Assinatura
2. Tocar em Cancelar
3. Confirmar no diálogo "Tem certeza?"
4. Abrir a caixa de qa.mensal07@nexiteste.com</t>
        </is>
      </c>
      <c r="J15" s="5" t="inlineStr">
        <is>
          <t>Exatamente 1 e-mail de confirmação de cancelamento é recebido em qa.mensal07@nexiteste.com</t>
        </is>
      </c>
      <c r="K15" s="5" t="inlineStr">
        <is>
          <t>Não executado</t>
        </is>
      </c>
      <c r="L15" s="5" t="inlineStr"/>
      <c r="M15" s="5" t="inlineStr"/>
      <c r="N15" s="5" t="inlineStr"/>
      <c r="O15" s="5" t="inlineStr"/>
    </row>
    <row r="16">
      <c r="A16" s="5" t="inlineStr">
        <is>
          <t>CT-15</t>
        </is>
      </c>
      <c r="B16" s="5" t="inlineStr">
        <is>
          <t>Toque duplo em Confirmar gera um único reembolso</t>
        </is>
      </c>
      <c r="C16" s="5" t="inlineStr">
        <is>
          <t>CA1, CA3</t>
        </is>
      </c>
      <c r="D16" s="5" t="inlineStr">
        <is>
          <t>negativo</t>
        </is>
      </c>
      <c r="E16" s="5" t="inlineStr">
        <is>
          <t>suposição de erro</t>
        </is>
      </c>
      <c r="F16" s="5" t="inlineStr">
        <is>
          <t>Média</t>
        </is>
      </c>
      <c r="G16" s="5" t="inlineStr">
        <is>
          <t>• Usuário qa.mensal08@nexiteste.com com plano Mensal R$ 39,90 contratado há 2 dias</t>
        </is>
      </c>
      <c r="H16" s="5" t="inlineStr"/>
      <c r="I16" s="5" t="inlineStr">
        <is>
          <t>1. Acessar Conta &gt; Assinatura
2. Tocar em Cancelar
3. No diálogo "Tem certeza?", tocar duas vezes rapidamente em confirmar
4. Consultar o gateway de homologação</t>
        </is>
      </c>
      <c r="J16" s="5" t="inlineStr">
        <is>
          <t>O gateway registra exatamente 1 estorno de R$ 39,90 (total estornado R$ 39,90)</t>
        </is>
      </c>
      <c r="K16" s="5" t="inlineStr">
        <is>
          <t>Não executado</t>
        </is>
      </c>
      <c r="L16" s="5" t="inlineStr"/>
      <c r="M16" s="5" t="inlineStr"/>
      <c r="N16" s="5" t="inlineStr"/>
      <c r="O16" s="5" t="inlineStr"/>
    </row>
  </sheetData>
  <autoFilter ref="A1:O16"/>
  <conditionalFormatting sqref="K2:K16">
    <cfRule type="cellIs" priority="1" operator="equal" dxfId="0">
      <formula>"Passou"</formula>
    </cfRule>
    <cfRule type="cellIs" priority="2" operator="equal" dxfId="1">
      <formula>"Falhou"</formula>
    </cfRule>
    <cfRule type="cellIs" priority="3" operator="equal" dxfId="2">
      <formula>"Bloqueado"</formula>
    </cfRule>
  </conditionalFormatting>
  <dataValidations count="1">
    <dataValidation sqref="K2:K16" showDropDown="0" showInputMessage="0" showErrorMessage="0" allowBlank="0" type="list">
      <formula1>"Não executado,Passou,Falhou,Bloqueado"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50" customWidth="1" min="2" max="2"/>
    <col width="7" customWidth="1" min="3" max="3"/>
    <col width="7" customWidth="1" min="4" max="4"/>
    <col width="7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  <col width="7" customWidth="1" min="17" max="17"/>
    <col width="9" customWidth="1" min="18" max="18"/>
  </cols>
  <sheetData>
    <row r="1">
      <c r="A1" s="4" t="inlineStr">
        <is>
          <t>Critério</t>
        </is>
      </c>
      <c r="B1" s="4" t="inlineStr">
        <is>
          <t>Descrição</t>
        </is>
      </c>
      <c r="C1" s="4" t="inlineStr">
        <is>
          <t>CT-01</t>
        </is>
      </c>
      <c r="D1" s="4" t="inlineStr">
        <is>
          <t>CT-02</t>
        </is>
      </c>
      <c r="E1" s="4" t="inlineStr">
        <is>
          <t>CT-03</t>
        </is>
      </c>
      <c r="F1" s="4" t="inlineStr">
        <is>
          <t>CT-04</t>
        </is>
      </c>
      <c r="G1" s="4" t="inlineStr">
        <is>
          <t>CT-05</t>
        </is>
      </c>
      <c r="H1" s="4" t="inlineStr">
        <is>
          <t>CT-06</t>
        </is>
      </c>
      <c r="I1" s="4" t="inlineStr">
        <is>
          <t>CT-07</t>
        </is>
      </c>
      <c r="J1" s="4" t="inlineStr">
        <is>
          <t>CT-08</t>
        </is>
      </c>
      <c r="K1" s="4" t="inlineStr">
        <is>
          <t>CT-09</t>
        </is>
      </c>
      <c r="L1" s="4" t="inlineStr">
        <is>
          <t>CT-10</t>
        </is>
      </c>
      <c r="M1" s="4" t="inlineStr">
        <is>
          <t>CT-11</t>
        </is>
      </c>
      <c r="N1" s="4" t="inlineStr">
        <is>
          <t>CT-12</t>
        </is>
      </c>
      <c r="O1" s="4" t="inlineStr">
        <is>
          <t>CT-13</t>
        </is>
      </c>
      <c r="P1" s="4" t="inlineStr">
        <is>
          <t>CT-14</t>
        </is>
      </c>
      <c r="Q1" s="4" t="inlineStr">
        <is>
          <t>CT-15</t>
        </is>
      </c>
      <c r="R1" s="4" t="inlineStr">
        <is>
          <t>Nº casos</t>
        </is>
      </c>
    </row>
    <row r="2">
      <c r="A2" t="inlineStr">
        <is>
          <t>CA1</t>
        </is>
      </c>
      <c r="B2" s="5" t="inlineStr">
        <is>
          <t>Assinante cancela pelo app a qualquer momento em Conta &gt; Assinatura &gt; Cancelar</t>
        </is>
      </c>
      <c r="C2" s="6" t="inlineStr">
        <is>
          <t>X</t>
        </is>
      </c>
      <c r="D2" s="6" t="inlineStr"/>
      <c r="E2" s="6" t="inlineStr">
        <is>
          <t>X</t>
        </is>
      </c>
      <c r="F2" s="6" t="inlineStr"/>
      <c r="G2" s="6" t="inlineStr"/>
      <c r="H2" s="6" t="inlineStr"/>
      <c r="I2" s="6" t="inlineStr"/>
      <c r="J2" s="6" t="inlineStr">
        <is>
          <t>X</t>
        </is>
      </c>
      <c r="K2" s="6" t="inlineStr"/>
      <c r="L2" s="6" t="inlineStr"/>
      <c r="M2" s="6" t="inlineStr"/>
      <c r="N2" s="6" t="inlineStr"/>
      <c r="O2" s="6" t="inlineStr"/>
      <c r="P2" s="6" t="inlineStr"/>
      <c r="Q2" s="6" t="inlineStr">
        <is>
          <t>X</t>
        </is>
      </c>
      <c r="R2" s="6" t="n">
        <v>4</v>
      </c>
    </row>
    <row r="3">
      <c r="A3" t="inlineStr">
        <is>
          <t>CA2</t>
        </is>
      </c>
      <c r="B3" s="5" t="inlineStr">
        <is>
          <t>Antes de cancelar, o app pede confirmação com "Tem certeza?"</t>
        </is>
      </c>
      <c r="C3" s="6" t="inlineStr"/>
      <c r="D3" s="6" t="inlineStr">
        <is>
          <t>X</t>
        </is>
      </c>
      <c r="E3" s="6" t="inlineStr">
        <is>
          <t>X</t>
        </is>
      </c>
      <c r="F3" s="6" t="inlineStr"/>
      <c r="G3" s="6" t="inlineStr"/>
      <c r="H3" s="6" t="inlineStr"/>
      <c r="I3" s="6" t="inlineStr"/>
      <c r="J3" s="6" t="inlineStr"/>
      <c r="K3" s="6" t="inlineStr"/>
      <c r="L3" s="6" t="inlineStr"/>
      <c r="M3" s="6" t="inlineStr"/>
      <c r="N3" s="6" t="inlineStr"/>
      <c r="O3" s="6" t="inlineStr"/>
      <c r="P3" s="6" t="inlineStr"/>
      <c r="Q3" s="6" t="inlineStr"/>
      <c r="R3" s="6" t="n">
        <v>2</v>
      </c>
    </row>
    <row r="4">
      <c r="A4" t="inlineStr">
        <is>
          <t>CA3</t>
        </is>
      </c>
      <c r="B4" s="5" t="inlineStr">
        <is>
          <t>Cancelamento em até 7 dias da contratação tem reembolso integral (CDC), em qualquer plano</t>
        </is>
      </c>
      <c r="C4" s="6" t="inlineStr">
        <is>
          <t>X</t>
        </is>
      </c>
      <c r="D4" s="6" t="inlineStr"/>
      <c r="E4" s="6" t="inlineStr"/>
      <c r="F4" s="6" t="inlineStr">
        <is>
          <t>X</t>
        </is>
      </c>
      <c r="G4" s="6" t="inlineStr">
        <is>
          <t>X</t>
        </is>
      </c>
      <c r="H4" s="6" t="inlineStr">
        <is>
          <t>X</t>
        </is>
      </c>
      <c r="I4" s="6" t="inlineStr"/>
      <c r="J4" s="6" t="inlineStr"/>
      <c r="K4" s="6" t="inlineStr"/>
      <c r="L4" s="6" t="inlineStr"/>
      <c r="M4" s="6" t="inlineStr"/>
      <c r="N4" s="6" t="inlineStr"/>
      <c r="O4" s="6" t="inlineStr"/>
      <c r="P4" s="6" t="inlineStr"/>
      <c r="Q4" s="6" t="inlineStr">
        <is>
          <t>X</t>
        </is>
      </c>
      <c r="R4" s="6" t="n">
        <v>5</v>
      </c>
    </row>
    <row r="5">
      <c r="A5" t="inlineStr">
        <is>
          <t>CA4</t>
        </is>
      </c>
      <c r="B5" s="5" t="inlineStr">
        <is>
          <t>Cancelado depois de 7 dias, o assinante mantém acesso até o fim do período já pago</t>
        </is>
      </c>
      <c r="C5" s="6" t="inlineStr"/>
      <c r="D5" s="6" t="inlineStr"/>
      <c r="E5" s="6" t="inlineStr"/>
      <c r="F5" s="6" t="inlineStr"/>
      <c r="G5" s="6" t="inlineStr"/>
      <c r="H5" s="6" t="inlineStr"/>
      <c r="I5" s="6" t="inlineStr"/>
      <c r="J5" s="6" t="inlineStr"/>
      <c r="K5" s="6" t="inlineStr"/>
      <c r="L5" s="6" t="inlineStr">
        <is>
          <t>X</t>
        </is>
      </c>
      <c r="M5" s="6" t="inlineStr">
        <is>
          <t>X</t>
        </is>
      </c>
      <c r="N5" s="6" t="inlineStr"/>
      <c r="O5" s="6" t="inlineStr"/>
      <c r="P5" s="6" t="inlineStr"/>
      <c r="Q5" s="6" t="inlineStr"/>
      <c r="R5" s="6" t="n">
        <v>2</v>
      </c>
    </row>
    <row r="6">
      <c r="A6" t="inlineStr">
        <is>
          <t>CA5</t>
        </is>
      </c>
      <c r="B6" s="5" t="inlineStr">
        <is>
          <t>Cancelado depois de 7 dias, o assinante não é cobrado de novo</t>
        </is>
      </c>
      <c r="C6" s="6" t="inlineStr"/>
      <c r="D6" s="6" t="inlineStr"/>
      <c r="E6" s="6" t="inlineStr"/>
      <c r="F6" s="6" t="inlineStr"/>
      <c r="G6" s="6" t="inlineStr"/>
      <c r="H6" s="6" t="inlineStr"/>
      <c r="I6" s="6" t="inlineStr"/>
      <c r="J6" s="6" t="inlineStr"/>
      <c r="K6" s="6" t="inlineStr"/>
      <c r="L6" s="6" t="inlineStr"/>
      <c r="M6" s="6" t="inlineStr"/>
      <c r="N6" s="6" t="inlineStr">
        <is>
          <t>X</t>
        </is>
      </c>
      <c r="O6" s="6" t="inlineStr">
        <is>
          <t>X</t>
        </is>
      </c>
      <c r="P6" s="6" t="inlineStr"/>
      <c r="Q6" s="6" t="inlineStr"/>
      <c r="R6" s="6" t="n">
        <v>2</v>
      </c>
    </row>
    <row r="7">
      <c r="A7" t="inlineStr">
        <is>
          <t>CA6</t>
        </is>
      </c>
      <c r="B7" s="5" t="inlineStr">
        <is>
          <t>Plano anual cancelado depois de 7 dias tem reembolso proporcional aos meses não usados (R$ 399,00 / 12 = R$ 33,25 por mês)</t>
        </is>
      </c>
      <c r="C7" s="6" t="inlineStr"/>
      <c r="D7" s="6" t="inlineStr"/>
      <c r="E7" s="6" t="inlineStr"/>
      <c r="F7" s="6" t="inlineStr"/>
      <c r="G7" s="6" t="inlineStr"/>
      <c r="H7" s="6" t="inlineStr"/>
      <c r="I7" s="6" t="inlineStr">
        <is>
          <t>X</t>
        </is>
      </c>
      <c r="J7" s="6" t="inlineStr">
        <is>
          <t>X</t>
        </is>
      </c>
      <c r="K7" s="6" t="inlineStr">
        <is>
          <t>X</t>
        </is>
      </c>
      <c r="L7" s="6" t="inlineStr"/>
      <c r="M7" s="6" t="inlineStr"/>
      <c r="N7" s="6" t="inlineStr"/>
      <c r="O7" s="6" t="inlineStr"/>
      <c r="P7" s="6" t="inlineStr"/>
      <c r="Q7" s="6" t="inlineStr"/>
      <c r="R7" s="6" t="n">
        <v>3</v>
      </c>
    </row>
    <row r="8">
      <c r="A8" t="inlineStr">
        <is>
          <t>CA7</t>
        </is>
      </c>
      <c r="B8" s="5" t="inlineStr">
        <is>
          <t>Um e-mail confirmando o cancelamento é enviado ao assinante</t>
        </is>
      </c>
      <c r="C8" s="6" t="inlineStr"/>
      <c r="D8" s="6" t="inlineStr"/>
      <c r="E8" s="6" t="inlineStr">
        <is>
          <t>X</t>
        </is>
      </c>
      <c r="F8" s="6" t="inlineStr"/>
      <c r="G8" s="6" t="inlineStr"/>
      <c r="H8" s="6" t="inlineStr"/>
      <c r="I8" s="6" t="inlineStr"/>
      <c r="J8" s="6" t="inlineStr"/>
      <c r="K8" s="6" t="inlineStr"/>
      <c r="L8" s="6" t="inlineStr"/>
      <c r="M8" s="6" t="inlineStr"/>
      <c r="N8" s="6" t="inlineStr"/>
      <c r="O8" s="6" t="inlineStr"/>
      <c r="P8" s="6" t="inlineStr">
        <is>
          <t>X</t>
        </is>
      </c>
      <c r="Q8" s="6" t="inlineStr"/>
      <c r="R8" s="6" t="n">
        <v>2</v>
      </c>
    </row>
  </sheetData>
  <conditionalFormatting sqref="R2:R8">
    <cfRule type="cellIs" priority="1" operator="equal" dxfId="1">
      <formula>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60" customWidth="1" min="2" max="2"/>
    <col width="12" customWidth="1" min="3" max="3"/>
    <col width="30" customWidth="1" min="4" max="4"/>
    <col width="40" customWidth="1" min="5" max="5"/>
    <col width="16" customWidth="1" min="6" max="6"/>
  </cols>
  <sheetData>
    <row r="1">
      <c r="A1" s="4" t="inlineStr">
        <is>
          <t>Nº</t>
        </is>
      </c>
      <c r="B1" s="4" t="inlineStr">
        <is>
          <t>Dúvida</t>
        </is>
      </c>
      <c r="C1" s="4" t="inlineStr">
        <is>
          <t>Critério</t>
        </is>
      </c>
      <c r="D1" s="4" t="inlineStr">
        <is>
          <t>Impacto</t>
        </is>
      </c>
      <c r="E1" s="4" t="inlineStr">
        <is>
          <t>Resposta do PO</t>
        </is>
      </c>
      <c r="F1" s="4" t="inlineStr">
        <is>
          <t>Respondido por</t>
        </is>
      </c>
    </row>
    <row r="2">
      <c r="A2" s="5" t="inlineStr">
        <is>
          <t>D1</t>
        </is>
      </c>
      <c r="B2" s="5" t="inlineStr">
        <is>
          <t>Como contar os 7 dias: o dia da contratação é o dia 0 ou o dia 1? Dias corridos ou 7 × 24 h a partir do horário da compra? Qual fuso?</t>
        </is>
      </c>
      <c r="C2" s="5" t="inlineStr">
        <is>
          <t>CA3, CA6</t>
        </is>
      </c>
      <c r="D2" s="5" t="inlineStr">
        <is>
          <t>Define a data limite de CT-04, CT-05, CT-06 e CT-07; hoje eles usam a suposição de dias corridos com contratação = dia 0</t>
        </is>
      </c>
      <c r="E2" s="5" t="inlineStr"/>
      <c r="F2" s="5" t="inlineStr"/>
    </row>
    <row r="3">
      <c r="A3" s="5" t="inlineStr">
        <is>
          <t>D2</t>
        </is>
      </c>
      <c r="B3" s="5" t="inlineStr">
        <is>
          <t>Plano mensal cancelado depois de 7 dias realmente não tem nenhum reembolso? O texto só fala de reembolso para o anual nesse caso</t>
        </is>
      </c>
      <c r="C3" s="5" t="inlineStr">
        <is>
          <t>CA3, CA6</t>
        </is>
      </c>
      <c r="D3" s="5" t="inlineStr">
        <is>
          <t>CT-05 assume que não há estorno</t>
        </is>
      </c>
      <c r="E3" s="5" t="inlineStr"/>
      <c r="F3" s="5" t="inlineStr"/>
    </row>
    <row r="4">
      <c r="A4" s="5" t="inlineStr">
        <is>
          <t>D3</t>
        </is>
      </c>
      <c r="B4" s="5" t="inlineStr">
        <is>
          <t>No proporcional do anual, o mês em andamento conta como usado? Ou o cálculo é por dia? Como arredondar centavos se for por dia?</t>
        </is>
      </c>
      <c r="C4" s="5" t="inlineStr">
        <is>
          <t>CA6</t>
        </is>
      </c>
      <c r="D4" s="5" t="inlineStr">
        <is>
          <t>CT-07, CT-08 e CT-09 assumem mês em andamento = usado. Se não contar, CT-08 seria 9 × R$ 33,25 = R$ 299,25 e CT-07 seria R$ 399,00</t>
        </is>
      </c>
      <c r="E4" s="5" t="inlineStr"/>
      <c r="F4" s="5" t="inlineStr"/>
    </row>
    <row r="5">
      <c r="A5" s="5" t="inlineStr">
        <is>
          <t>D4</t>
        </is>
      </c>
      <c r="B5" s="5" t="inlineStr">
        <is>
          <t>Quem cancela dentro dos 7 dias (com reembolso integral) perde o acesso na hora ou continua até o fim do período?</t>
        </is>
      </c>
      <c r="C5" s="5" t="inlineStr">
        <is>
          <t>CA3, CA4</t>
        </is>
      </c>
      <c r="D5" s="5" t="inlineStr">
        <is>
          <t>Nenhum caso confere o acesso depois do cancelamento com reembolso integral</t>
        </is>
      </c>
      <c r="E5" s="5" t="inlineStr"/>
      <c r="F5" s="5" t="inlineStr"/>
    </row>
    <row r="6">
      <c r="A6" s="5" t="inlineStr">
        <is>
          <t>D5</t>
        </is>
      </c>
      <c r="B6" s="5" t="inlineStr">
        <is>
          <t>Quem cancela o anual com reembolso proporcional continua com acesso até o fim do ano pago ou só até o fim do mês em andamento? Acesso até o fim do ano somado ao reembolso dos meses seria pagar duas vezes</t>
        </is>
      </c>
      <c r="C6" s="5" t="inlineStr">
        <is>
          <t>CA4, CA6</t>
        </is>
      </c>
      <c r="D6" s="5" t="inlineStr">
        <is>
          <t>Sem caso de acesso para o anual cancelado após 7 dias</t>
        </is>
      </c>
      <c r="E6" s="5" t="inlineStr"/>
      <c r="F6" s="5" t="inlineStr"/>
    </row>
    <row r="7">
      <c r="A7" s="5" t="inlineStr">
        <is>
          <t>D6</t>
        </is>
      </c>
      <c r="B7" s="5" t="inlineStr">
        <is>
          <t>Como o reembolso é feito (estorno no mesmo cartão, crédito, Pix) e em quanto tempo deve aparecer?</t>
        </is>
      </c>
      <c r="C7" s="5" t="inlineStr">
        <is>
          <t>CA3, CA6</t>
        </is>
      </c>
      <c r="D7" s="5" t="inlineStr">
        <is>
          <t>Os casos conferem o estorno no gateway de homologação, não o prazo nem a forma</t>
        </is>
      </c>
      <c r="E7" s="5" t="inlineStr"/>
      <c r="F7" s="5" t="inlineStr"/>
    </row>
    <row r="8">
      <c r="A8" s="5" t="inlineStr">
        <is>
          <t>D7</t>
        </is>
      </c>
      <c r="B8" s="5" t="inlineStr">
        <is>
          <t>Assinaturas compradas pela App Store ou Google Play: o cancelamento e o reembolso também passam por Conta &gt; Assinatura &gt; Cancelar no nosso app?</t>
        </is>
      </c>
      <c r="C8" s="5" t="inlineStr">
        <is>
          <t>CA1</t>
        </is>
      </c>
      <c r="D8" s="5" t="inlineStr">
        <is>
          <t>Todos os casos assumem pagamento direto com cartão no gateway da Nexi</t>
        </is>
      </c>
      <c r="E8" s="5" t="inlineStr"/>
      <c r="F8" s="5" t="inlineStr"/>
    </row>
    <row r="9">
      <c r="A9" s="5" t="inlineStr">
        <is>
          <t>D8</t>
        </is>
      </c>
      <c r="B9" s="5" t="inlineStr">
        <is>
          <t>Qual o texto completo do diálogo e o nome dos botões (confirmar / desistir)? Só "Tem certeza?" está definido</t>
        </is>
      </c>
      <c r="C9" s="5" t="inlineStr">
        <is>
          <t>CA2</t>
        </is>
      </c>
      <c r="D9" s="5" t="inlineStr">
        <is>
          <t>CT-02 e CT-03 conferem só o texto "Tem certeza?"</t>
        </is>
      </c>
      <c r="E9" s="5" t="inlineStr"/>
      <c r="F9" s="5" t="inlineStr"/>
    </row>
    <row r="10">
      <c r="A10" s="5" t="inlineStr">
        <is>
          <t>D9</t>
        </is>
      </c>
      <c r="B10" s="5" t="inlineStr">
        <is>
          <t>O que o e-mail de confirmação deve conter (valor do reembolso, data fim do acesso, assunto, remetente)? Em quanto tempo deve chegar?</t>
        </is>
      </c>
      <c r="C10" s="5" t="inlineStr">
        <is>
          <t>CA7</t>
        </is>
      </c>
      <c r="D10" s="5" t="inlineStr">
        <is>
          <t>CT-14 confere só que 1 e-mail chegou</t>
        </is>
      </c>
      <c r="E10" s="5" t="inlineStr"/>
      <c r="F10" s="5" t="inlineStr"/>
    </row>
    <row r="11">
      <c r="A11" s="5" t="inlineStr">
        <is>
          <t>D10</t>
        </is>
      </c>
      <c r="B11" s="5" t="inlineStr">
        <is>
          <t>O que o app mostra depois de cancelar (mensagem de sucesso, data fim do acesso em Conta &gt; Assinatura) e para uma assinatura já cancelada o botão Cancelar continua aparecendo?</t>
        </is>
      </c>
      <c r="C11" s="5" t="inlineStr">
        <is>
          <t>CA1, CA4</t>
        </is>
      </c>
      <c r="D11" s="5" t="inlineStr">
        <is>
          <t>Nenhum caso confere mensagens na tela; não há caso de cancelar duas vezes a mesma assinatura</t>
        </is>
      </c>
      <c r="E11" s="5" t="inlineStr"/>
      <c r="F11" s="5" t="inlineStr"/>
    </row>
    <row r="12">
      <c r="A12" s="5" t="inlineStr">
        <is>
          <t>D11</t>
        </is>
      </c>
      <c r="B12" s="5" t="inlineStr">
        <is>
          <t>O que o usuário vê ao tentar assistir depois do fim do período pago (tela de assinar de novo, mensagem)?</t>
        </is>
      </c>
      <c r="C12" s="5" t="inlineStr">
        <is>
          <t>CA4</t>
        </is>
      </c>
      <c r="D12" s="5" t="inlineStr">
        <is>
          <t>CT-11 confere só que o título não reproduz</t>
        </is>
      </c>
      <c r="E12" s="5" t="inlineStr"/>
      <c r="F12" s="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2026-10-14T12:33:33Z</dcterms:created>
  <dcterms:modified xsi:type="dcterms:W3CDTF">2026-10-14T12:33:33Z</dcterms:modified>
</cp:coreProperties>
</file>