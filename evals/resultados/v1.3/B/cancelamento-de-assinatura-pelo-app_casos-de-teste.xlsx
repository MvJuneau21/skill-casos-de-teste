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sos" sheetId="2" state="visible" r:id="rId2"/>
    <sheet name="Rastreabilidade" sheetId="3" state="visible" r:id="rId3"/>
    <sheet name="Dúvidas" sheetId="4" state="visible" r:id="rId4"/>
  </sheets>
  <definedNames>
    <definedName name="_xlnm._FilterDatabase" localSheetId="1" hidden="1">'Casos'!$A$1:$Q$17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Cancelamento de assinatura pelo app</t>
        </is>
      </c>
    </row>
    <row r="3">
      <c r="A3" s="2" t="inlineStr">
        <is>
          <t>Status</t>
        </is>
      </c>
      <c r="B3" s="2" t="inlineStr">
        <is>
          <t>Casos</t>
        </is>
      </c>
    </row>
    <row r="4">
      <c r="A4" t="inlineStr">
        <is>
          <t>Não executado</t>
        </is>
      </c>
      <c r="B4">
        <f>COUNTIF(Casos!L2:L17,"Não executado")</f>
        <v/>
      </c>
    </row>
    <row r="5">
      <c r="A5" t="inlineStr">
        <is>
          <t>Passou</t>
        </is>
      </c>
      <c r="B5">
        <f>COUNTIF(Casos!L2:L17,"Passou")</f>
        <v/>
      </c>
    </row>
    <row r="6">
      <c r="A6" t="inlineStr">
        <is>
          <t>Falhou</t>
        </is>
      </c>
      <c r="B6">
        <f>COUNTIF(Casos!L2:L17,"Falhou")</f>
        <v/>
      </c>
    </row>
    <row r="7">
      <c r="A7" t="inlineStr">
        <is>
          <t>Bloqueado</t>
        </is>
      </c>
      <c r="B7">
        <f>COUNTIF(Casos!L2:L17,"Bloqueado")</f>
        <v/>
      </c>
    </row>
    <row r="8">
      <c r="A8" t="inlineStr">
        <is>
          <t>Total</t>
        </is>
      </c>
      <c r="B8">
        <f>COUNTA(Casos!A2:A17)</f>
        <v/>
      </c>
    </row>
    <row r="9">
      <c r="A9" t="inlineStr">
        <is>
          <t>% executado</t>
        </is>
      </c>
      <c r="B9" s="3">
        <f>IF(B8=0,0,(B8-B4)/B8)</f>
        <v/>
      </c>
    </row>
    <row r="11">
      <c r="A11" t="inlineStr">
        <is>
          <t>Falhas em prioridade Alta</t>
        </is>
      </c>
      <c r="B11">
        <f>COUNTIFS(Casos!L2:L17,"Falhou",Casos!F2:F17,"Alta")</f>
        <v/>
      </c>
    </row>
    <row r="12">
      <c r="A12" t="inlineStr">
        <is>
          <t>Dúvidas abertas</t>
        </is>
      </c>
      <c r="B12">
        <f>COUNTA('Dúvidas'!A2:A500)-COUNTA('Dúvidas'!E2:E500)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0" customWidth="1" min="4" max="4"/>
    <col width="18" customWidth="1" min="5" max="5"/>
    <col width="10" customWidth="1" min="6" max="6"/>
    <col width="32" customWidth="1" min="7" max="7"/>
    <col width="28" customWidth="1" min="8" max="8"/>
    <col width="46" customWidth="1" min="9" max="9"/>
    <col width="40" customWidth="1" min="10" max="10"/>
    <col width="28" customWidth="1" min="11" max="11"/>
    <col width="14" customWidth="1" min="12" max="12"/>
    <col width="30" customWidth="1" min="13" max="13"/>
    <col width="24" customWidth="1" min="14" max="14"/>
    <col width="14" customWidth="1" min="15" max="15"/>
    <col width="16" customWidth="1" min="16" max="16"/>
    <col width="13" customWidth="1" min="17" max="17"/>
  </cols>
  <sheetData>
    <row r="1">
      <c r="A1" s="4" t="inlineStr">
        <is>
          <t>ID</t>
        </is>
      </c>
      <c r="B1" s="4" t="inlineStr">
        <is>
          <t>Título</t>
        </is>
      </c>
      <c r="C1" s="4" t="inlineStr">
        <is>
          <t>Critérios</t>
        </is>
      </c>
      <c r="D1" s="4" t="inlineStr">
        <is>
          <t>Tipo</t>
        </is>
      </c>
      <c r="E1" s="4" t="inlineStr">
        <is>
          <t>Técnica</t>
        </is>
      </c>
      <c r="F1" s="4" t="inlineStr">
        <is>
          <t>Prioridade</t>
        </is>
      </c>
      <c r="G1" s="4" t="inlineStr">
        <is>
          <t>Pré-condições</t>
        </is>
      </c>
      <c r="H1" s="4" t="inlineStr">
        <is>
          <t>Dados</t>
        </is>
      </c>
      <c r="I1" s="4" t="inlineStr">
        <is>
          <t>Passos</t>
        </is>
      </c>
      <c r="J1" s="4" t="inlineStr">
        <is>
          <t>Resultado esperado</t>
        </is>
      </c>
      <c r="K1" s="4" t="inlineStr">
        <is>
          <t>Depende de</t>
        </is>
      </c>
      <c r="L1" s="4" t="inlineStr">
        <is>
          <t>Status</t>
        </is>
      </c>
      <c r="M1" s="4" t="inlineStr">
        <is>
          <t>Resultado obtido</t>
        </is>
      </c>
      <c r="N1" s="4" t="inlineStr">
        <is>
          <t>Evidência (print/vídeo/log)</t>
        </is>
      </c>
      <c r="O1" s="4" t="inlineStr">
        <is>
          <t>Bug / ticket</t>
        </is>
      </c>
      <c r="P1" s="4" t="inlineStr">
        <is>
          <t>Executado por</t>
        </is>
      </c>
      <c r="Q1" s="4" t="inlineStr">
        <is>
          <t>Data execução</t>
        </is>
      </c>
    </row>
    <row r="2">
      <c r="A2" s="5" t="inlineStr">
        <is>
          <t>CT-01</t>
        </is>
      </c>
      <c r="B2" s="5" t="inlineStr">
        <is>
          <t>Mensal cancelado no 3º dia recebe reembolso integral de R$ 39,90</t>
        </is>
      </c>
      <c r="C2" s="5" t="inlineStr">
        <is>
          <t>CA1, CA3</t>
        </is>
      </c>
      <c r="D2" s="5" t="inlineStr">
        <is>
          <t>positivo</t>
        </is>
      </c>
      <c r="E2" s="5" t="inlineStr">
        <is>
          <t>caminho feliz</t>
        </is>
      </c>
      <c r="F2" s="5" t="inlineStr">
        <is>
          <t>Alta</t>
        </is>
      </c>
      <c r="G2" s="5" t="inlineStr">
        <is>
          <t>• Usuário qa.cancel01@nexi.test logado no app
• Plano Mensal R$ 39,90 contratado há 3 dias, pago com cartão de teste final 4242</t>
        </is>
      </c>
      <c r="H2" s="5" t="inlineStr">
        <is>
          <t>usuário: qa.cancel01@nexi.test
plano: Mensal R$ 39,90
dias desde a contratação: 3</t>
        </is>
      </c>
      <c r="I2" s="5" t="inlineStr">
        <is>
          <t>1. Acessar Conta &gt; Assinatura
2. Tocar em Cancelar
3. Confirmar na pergunta "Tem certeza?"
4. Consultar a transação da assinatura no gateway de pagamento</t>
        </is>
      </c>
      <c r="J2" s="5" t="inlineStr">
        <is>
          <t>Gateway mostra reembolso de R$ 39,90 para a assinatura de qa.cancel01@nexi.test</t>
        </is>
      </c>
      <c r="K2" s="5" t="inlineStr"/>
      <c r="L2" s="5" t="inlineStr">
        <is>
          <t>Não executado</t>
        </is>
      </c>
      <c r="M2" s="5" t="inlineStr"/>
      <c r="N2" s="5" t="inlineStr"/>
      <c r="O2" s="5" t="inlineStr"/>
      <c r="P2" s="5" t="inlineStr"/>
      <c r="Q2" s="5" t="inlineStr"/>
    </row>
    <row r="3">
      <c r="A3" s="5" t="inlineStr">
        <is>
          <t>CT-02</t>
        </is>
      </c>
      <c r="B3" s="5" t="inlineStr">
        <is>
          <t>Anual cancelado no 3º dia recebe reembolso integral de R$ 399,00</t>
        </is>
      </c>
      <c r="C3" s="5" t="inlineStr">
        <is>
          <t>CA3</t>
        </is>
      </c>
      <c r="D3" s="5" t="inlineStr">
        <is>
          <t>positivo</t>
        </is>
      </c>
      <c r="E3" s="5" t="inlineStr">
        <is>
          <t>tabela de decisão</t>
        </is>
      </c>
      <c r="F3" s="5" t="inlineStr">
        <is>
          <t>Alta</t>
        </is>
      </c>
      <c r="G3" s="5" t="inlineStr">
        <is>
          <t>• Usuário qa.cancel02@nexi.test logado no app
• Plano Anual R$ 399,00 contratado há 3 dias</t>
        </is>
      </c>
      <c r="H3" s="5" t="inlineStr">
        <is>
          <t>usuário: qa.cancel02@nexi.test
plano: Anual R$ 399,00
dias desde a contratação: 3</t>
        </is>
      </c>
      <c r="I3" s="5" t="inlineStr">
        <is>
          <t>1. Acessar Conta &gt; Assinatura
2. Tocar em Cancelar
3. Confirmar na pergunta "Tem certeza?"
4. Consultar a transação da assinatura no gateway de pagamento</t>
        </is>
      </c>
      <c r="J3" s="5" t="inlineStr">
        <is>
          <t>Gateway mostra reembolso de R$ 399,00 para a assinatura de qa.cancel02@nexi.test</t>
        </is>
      </c>
      <c r="K3" s="5" t="inlineStr"/>
      <c r="L3" s="5" t="inlineStr">
        <is>
          <t>Não executado</t>
        </is>
      </c>
      <c r="M3" s="5" t="inlineStr"/>
      <c r="N3" s="5" t="inlineStr"/>
      <c r="O3" s="5" t="inlineStr"/>
      <c r="P3" s="5" t="inlineStr"/>
      <c r="Q3" s="5" t="inlineStr"/>
    </row>
    <row r="4">
      <c r="A4" s="5" t="inlineStr">
        <is>
          <t>CT-03</t>
        </is>
      </c>
      <c r="B4" s="5" t="inlineStr">
        <is>
          <t>Mensal cancelado no 7º dia ainda recebe reembolso integral de R$ 39,90</t>
        </is>
      </c>
      <c r="C4" s="5" t="inlineStr">
        <is>
          <t>CA3</t>
        </is>
      </c>
      <c r="D4" s="5" t="inlineStr">
        <is>
          <t>borda</t>
        </is>
      </c>
      <c r="E4" s="5" t="inlineStr">
        <is>
          <t>valor limite</t>
        </is>
      </c>
      <c r="F4" s="5" t="inlineStr">
        <is>
          <t>Alta</t>
        </is>
      </c>
      <c r="G4" s="5" t="inlineStr">
        <is>
          <t>• Usuário qa.cancel03@nexi.test logado no app
• Plano Mensal R$ 39,90 contratado; data do ambiente avançada para contratação + 7 dias (ex.: contratado em 01/10, testar em 08/10)</t>
        </is>
      </c>
      <c r="H4" s="5" t="inlineStr">
        <is>
          <t>usuário: qa.cancel03@nexi.test
plano: Mensal R$ 39,90
dia do cancelamento: contratação + 7 dias</t>
        </is>
      </c>
      <c r="I4" s="5" t="inlineStr">
        <is>
          <t>1. Acessar Conta &gt; Assinatura
2. Tocar em Cancelar
3. Confirmar na pergunta "Tem certeza?"
4. Consultar a transação no gateway</t>
        </is>
      </c>
      <c r="J4" s="5" t="inlineStr">
        <is>
          <t>Gateway mostra reembolso de R$ 39,90</t>
        </is>
      </c>
      <c r="K4" s="5" t="inlineStr">
        <is>
          <t>D1 (bloqueia)
Suposição: O dia da contratação é o dia 0 e os 7 dias contam por data, em dias corridos (contratado em 01/10: dia 7 = 08/10, dia 8 = 09/10)</t>
        </is>
      </c>
      <c r="L4" s="5" t="inlineStr">
        <is>
          <t>Bloqueado</t>
        </is>
      </c>
      <c r="M4" s="5" t="inlineStr"/>
      <c r="N4" s="5" t="inlineStr"/>
      <c r="O4" s="5" t="inlineStr"/>
      <c r="P4" s="5" t="inlineStr"/>
      <c r="Q4" s="5" t="inlineStr"/>
    </row>
    <row r="5">
      <c r="A5" s="5" t="inlineStr">
        <is>
          <t>CT-04</t>
        </is>
      </c>
      <c r="B5" s="5" t="inlineStr">
        <is>
          <t>Mensal cancelado no 8º dia não recebe reembolso</t>
        </is>
      </c>
      <c r="C5" s="5" t="inlineStr">
        <is>
          <t>CA3</t>
        </is>
      </c>
      <c r="D5" s="5" t="inlineStr">
        <is>
          <t>borda</t>
        </is>
      </c>
      <c r="E5" s="5" t="inlineStr">
        <is>
          <t>valor limite</t>
        </is>
      </c>
      <c r="F5" s="5" t="inlineStr">
        <is>
          <t>Alta</t>
        </is>
      </c>
      <c r="G5" s="5" t="inlineStr">
        <is>
          <t>• Usuário qa.cancel04@nexi.test logado no app
• Plano Mensal R$ 39,90 contratado; data do ambiente avançada para contratação + 8 dias (ex.: contratado em 01/10, testar em 09/10)</t>
        </is>
      </c>
      <c r="H5" s="5" t="inlineStr">
        <is>
          <t>usuário: qa.cancel04@nexi.test
plano: Mensal R$ 39,90
dia do cancelamento: contratação + 8 dias</t>
        </is>
      </c>
      <c r="I5" s="5" t="inlineStr">
        <is>
          <t>1. Acessar Conta &gt; Assinatura
2. Tocar em Cancelar
3. Confirmar na pergunta "Tem certeza?"
4. Consultar a transação no gateway</t>
        </is>
      </c>
      <c r="J5" s="5" t="inlineStr">
        <is>
          <t>Gateway não mostra nenhum reembolso para a assinatura; a cobrança de R$ 39,90 continua liquidada</t>
        </is>
      </c>
      <c r="K5" s="5" t="inlineStr">
        <is>
          <t>D1 (bloqueia)
Suposição: O dia da contratação é o dia 0 e os 7 dias contam por data, em dias corridos (contratado em 01/10: dia 7 = 08/10, dia 8 = 09/10)
Suposição: Plano mensal cancelado depois de 7 dias não tem reembolso (o texto só cita reembolso em até 7 dias e no anual)</t>
        </is>
      </c>
      <c r="L5" s="5" t="inlineStr">
        <is>
          <t>Bloqueado</t>
        </is>
      </c>
      <c r="M5" s="5" t="inlineStr"/>
      <c r="N5" s="5" t="inlineStr"/>
      <c r="O5" s="5" t="inlineStr"/>
      <c r="P5" s="5" t="inlineStr"/>
      <c r="Q5" s="5" t="inlineStr"/>
    </row>
    <row r="6">
      <c r="A6" s="5" t="inlineStr">
        <is>
          <t>CT-05</t>
        </is>
      </c>
      <c r="B6" s="5" t="inlineStr">
        <is>
          <t>Mensal cancelado no 15º dia mantém acesso até o fim do período pago</t>
        </is>
      </c>
      <c r="C6" s="5" t="inlineStr">
        <is>
          <t>CA4</t>
        </is>
      </c>
      <c r="D6" s="5" t="inlineStr">
        <is>
          <t>positivo</t>
        </is>
      </c>
      <c r="E6" s="5" t="inlineStr">
        <is>
          <t>transição de estado</t>
        </is>
      </c>
      <c r="F6" s="5" t="inlineStr">
        <is>
          <t>Média</t>
        </is>
      </c>
      <c r="G6" s="5" t="inlineStr">
        <is>
          <t>• Usuário qa.cancel05@nexi.test com plano Mensal R$ 39,90 contratado há 15 dias
• Assinatura cancelada pelo app no 15º dia
• Data do ambiente avançada para contratação + 25 dias (ainda dentro do mês pago)</t>
        </is>
      </c>
      <c r="H6" s="5" t="inlineStr">
        <is>
          <t>usuário: qa.cancel05@nexi.test
título de teste: QA-001
data simulada: contratação + 25 dias (dentro do período pago)</t>
        </is>
      </c>
      <c r="I6" s="5" t="inlineStr">
        <is>
          <t>1. Abrir o app logado como qa.cancel05@nexi.test
2. Buscar o título QA-001
3. Tocar em reproduzir</t>
        </is>
      </c>
      <c r="J6" s="5" t="inlineStr">
        <is>
          <t>O player reproduz QA-001 e o contador de tempo avança</t>
        </is>
      </c>
      <c r="K6" s="5" t="inlineStr"/>
      <c r="L6" s="5" t="inlineStr">
        <is>
          <t>Não executado</t>
        </is>
      </c>
      <c r="M6" s="5" t="inlineStr"/>
      <c r="N6" s="5" t="inlineStr"/>
      <c r="O6" s="5" t="inlineStr"/>
      <c r="P6" s="5" t="inlineStr"/>
      <c r="Q6" s="5" t="inlineStr"/>
    </row>
    <row r="7">
      <c r="A7" s="5" t="inlineStr">
        <is>
          <t>CT-06</t>
        </is>
      </c>
      <c r="B7" s="5" t="inlineStr">
        <is>
          <t>Mensal cancelado perde o acesso no dia seguinte ao fim do período pago</t>
        </is>
      </c>
      <c r="C7" s="5" t="inlineStr">
        <is>
          <t>CA4</t>
        </is>
      </c>
      <c r="D7" s="5" t="inlineStr">
        <is>
          <t>borda</t>
        </is>
      </c>
      <c r="E7" s="5" t="inlineStr">
        <is>
          <t>valor limite</t>
        </is>
      </c>
      <c r="F7" s="5" t="inlineStr">
        <is>
          <t>Média</t>
        </is>
      </c>
      <c r="G7" s="5" t="inlineStr">
        <is>
          <t>• Usuário qa.cancel05@nexi.test com plano Mensal cancelado no 15º dia (mesmo usuário de CT-05)
• Data do ambiente avançada para 1 dia depois do fim do período pago (contratação + 1 mês + 1 dia)</t>
        </is>
      </c>
      <c r="H7" s="5" t="inlineStr">
        <is>
          <t>usuário: qa.cancel05@nexi.test
título de teste: QA-001
data simulada: contratação + 1 mês + 1 dia (fora do período pago)</t>
        </is>
      </c>
      <c r="I7" s="5" t="inlineStr">
        <is>
          <t>1. Abrir o app logado como qa.cancel05@nexi.test
2. Buscar o título QA-001
3. Tocar em reproduzir</t>
        </is>
      </c>
      <c r="J7" s="5" t="inlineStr">
        <is>
          <t>O player não reproduz QA-001 (contador de tempo não avança)</t>
        </is>
      </c>
      <c r="K7" s="5" t="inlineStr"/>
      <c r="L7" s="5" t="inlineStr">
        <is>
          <t>Não executado</t>
        </is>
      </c>
      <c r="M7" s="5" t="inlineStr"/>
      <c r="N7" s="5" t="inlineStr"/>
      <c r="O7" s="5" t="inlineStr"/>
      <c r="P7" s="5" t="inlineStr"/>
      <c r="Q7" s="5" t="inlineStr"/>
    </row>
    <row r="8">
      <c r="A8" s="5" t="inlineStr">
        <is>
          <t>CT-07</t>
        </is>
      </c>
      <c r="B8" s="5" t="inlineStr">
        <is>
          <t>Mensal cancelado no 15º dia não é cobrado na data de renovação</t>
        </is>
      </c>
      <c r="C8" s="5" t="inlineStr">
        <is>
          <t>CA5</t>
        </is>
      </c>
      <c r="D8" s="5" t="inlineStr">
        <is>
          <t>negativo</t>
        </is>
      </c>
      <c r="E8" s="5" t="inlineStr">
        <is>
          <t>transição de estado</t>
        </is>
      </c>
      <c r="F8" s="5" t="inlineStr">
        <is>
          <t>Alta</t>
        </is>
      </c>
      <c r="G8" s="5" t="inlineStr">
        <is>
          <t>• Usuário qa.cancel06@nexi.test com plano Mensal R$ 39,90 cancelado pelo app no 15º dia
• Data do ambiente avançada para a data de renovação (contratação + 1 mês) e rotina de cobrança recorrente executada</t>
        </is>
      </c>
      <c r="H8" s="5" t="inlineStr">
        <is>
          <t>usuário: qa.cancel06@nexi.test
plano: Mensal R$ 39,90</t>
        </is>
      </c>
      <c r="I8" s="5" t="inlineStr">
        <is>
          <t>1. Consultar as transações da assinatura no gateway após a rotina de cobrança</t>
        </is>
      </c>
      <c r="J8" s="5" t="inlineStr">
        <is>
          <t>Gateway mostra só a cobrança inicial de R$ 39,90; nenhuma cobrança nova na data de renovação</t>
        </is>
      </c>
      <c r="K8" s="5" t="inlineStr"/>
      <c r="L8" s="5" t="inlineStr">
        <is>
          <t>Não executado</t>
        </is>
      </c>
      <c r="M8" s="5" t="inlineStr"/>
      <c r="N8" s="5" t="inlineStr"/>
      <c r="O8" s="5" t="inlineStr"/>
      <c r="P8" s="5" t="inlineStr"/>
      <c r="Q8" s="5" t="inlineStr"/>
    </row>
    <row r="9">
      <c r="A9" s="5" t="inlineStr">
        <is>
          <t>CT-08</t>
        </is>
      </c>
      <c r="B9" s="5" t="inlineStr">
        <is>
          <t>Anual cancelado no 4º mês recebe reembolso proporcional de R$ 266,00</t>
        </is>
      </c>
      <c r="C9" s="5" t="inlineStr">
        <is>
          <t>CA6</t>
        </is>
      </c>
      <c r="D9" s="5" t="inlineStr">
        <is>
          <t>positivo</t>
        </is>
      </c>
      <c r="E9" s="5" t="inlineStr">
        <is>
          <t>tabela de decisão</t>
        </is>
      </c>
      <c r="F9" s="5" t="inlineStr">
        <is>
          <t>Alta</t>
        </is>
      </c>
      <c r="G9" s="5" t="inlineStr">
        <is>
          <t>• Usuário qa.cancel07@nexi.test com plano Anual R$ 399,00 contratado há 3 meses e 10 dias (4º mês em curso); data do ambiente ajustada se preciso</t>
        </is>
      </c>
      <c r="H9" s="5" t="inlineStr">
        <is>
          <t>usuário: qa.cancel07@nexi.test
plano: Anual R$ 399,00
conta: 399,00 / 12 = 33,25 por mês; 4 meses usados (mês em curso conta); 8 × 33,25 = 266,00</t>
        </is>
      </c>
      <c r="I9" s="5" t="inlineStr">
        <is>
          <t>1. Acessar Conta &gt; Assinatura
2. Tocar em Cancelar
3. Confirmar na pergunta "Tem certeza?"
4. Consultar a transação no gateway</t>
        </is>
      </c>
      <c r="J9" s="5" t="inlineStr">
        <is>
          <t>Gateway mostra reembolso de R$ 266,00</t>
        </is>
      </c>
      <c r="K9" s="5" t="inlineStr">
        <is>
          <t>D2 (bloqueia)
Suposição: Reembolso proporcional = meses não usados × R$ 33,25 (R$ 399,00 / 12), e o mês em curso conta como usado</t>
        </is>
      </c>
      <c r="L9" s="5" t="inlineStr">
        <is>
          <t>Bloqueado</t>
        </is>
      </c>
      <c r="M9" s="5" t="inlineStr"/>
      <c r="N9" s="5" t="inlineStr"/>
      <c r="O9" s="5" t="inlineStr"/>
      <c r="P9" s="5" t="inlineStr"/>
      <c r="Q9" s="5" t="inlineStr"/>
    </row>
    <row r="10">
      <c r="A10" s="5" t="inlineStr">
        <is>
          <t>CT-09</t>
        </is>
      </c>
      <c r="B10" s="5" t="inlineStr">
        <is>
          <t>Anual cancelado no 8º dia recebe reembolso proporcional de R$ 365,75, não integral</t>
        </is>
      </c>
      <c r="C10" s="5" t="inlineStr">
        <is>
          <t>CA3, CA6</t>
        </is>
      </c>
      <c r="D10" s="5" t="inlineStr">
        <is>
          <t>borda</t>
        </is>
      </c>
      <c r="E10" s="5" t="inlineStr">
        <is>
          <t>valor limite</t>
        </is>
      </c>
      <c r="F10" s="5" t="inlineStr">
        <is>
          <t>Alta</t>
        </is>
      </c>
      <c r="G10" s="5" t="inlineStr">
        <is>
          <t>• Usuário qa.cancel08@nexi.test com plano Anual R$ 399,00 contratado; data do ambiente avançada para contratação + 8 dias</t>
        </is>
      </c>
      <c r="H10" s="5" t="inlineStr">
        <is>
          <t>usuário: qa.cancel08@nexi.test
plano: Anual R$ 399,00
conta: 1 mês usado (em curso); 11 × 33,25 = 365,75</t>
        </is>
      </c>
      <c r="I10" s="5" t="inlineStr">
        <is>
          <t>1. Acessar Conta &gt; Assinatura
2. Tocar em Cancelar
3. Confirmar na pergunta "Tem certeza?"
4. Consultar a transação no gateway</t>
        </is>
      </c>
      <c r="J10" s="5" t="inlineStr">
        <is>
          <t>Gateway mostra reembolso de R$ 365,75</t>
        </is>
      </c>
      <c r="K10" s="5" t="inlineStr">
        <is>
          <t>D1 (bloqueia)
D2 (bloqueia)
Suposição: O dia da contratação é o dia 0 e os 7 dias contam por data, em dias corridos (contratado em 01/10: dia 7 = 08/10, dia 8 = 09/10)
Suposição: Reembolso proporcional = meses não usados × R$ 33,25 (R$ 399,00 / 12), e o mês em curso conta como usado</t>
        </is>
      </c>
      <c r="L10" s="5" t="inlineStr">
        <is>
          <t>Bloqueado</t>
        </is>
      </c>
      <c r="M10" s="5" t="inlineStr"/>
      <c r="N10" s="5" t="inlineStr"/>
      <c r="O10" s="5" t="inlineStr"/>
      <c r="P10" s="5" t="inlineStr"/>
      <c r="Q10" s="5" t="inlineStr"/>
    </row>
    <row r="11">
      <c r="A11" s="5" t="inlineStr">
        <is>
          <t>CT-10</t>
        </is>
      </c>
      <c r="B11" s="5" t="inlineStr">
        <is>
          <t>Anual cancelado no 12º mês não gera reembolso</t>
        </is>
      </c>
      <c r="C11" s="5" t="inlineStr">
        <is>
          <t>CA6</t>
        </is>
      </c>
      <c r="D11" s="5" t="inlineStr">
        <is>
          <t>borda</t>
        </is>
      </c>
      <c r="E11" s="5" t="inlineStr">
        <is>
          <t>valor limite</t>
        </is>
      </c>
      <c r="F11" s="5" t="inlineStr">
        <is>
          <t>Média</t>
        </is>
      </c>
      <c r="G11" s="5" t="inlineStr">
        <is>
          <t>• Usuário qa.cancel09@nexi.test com plano Anual R$ 399,00 contratado há 11 meses e 10 dias (12º mês em curso); data do ambiente ajustada</t>
        </is>
      </c>
      <c r="H11" s="5" t="inlineStr">
        <is>
          <t>usuário: qa.cancel09@nexi.test
plano: Anual R$ 399,00
conta: 12 meses usados; 0 × 33,25 = 0,00</t>
        </is>
      </c>
      <c r="I11" s="5" t="inlineStr">
        <is>
          <t>1. Acessar Conta &gt; Assinatura
2. Tocar em Cancelar
3. Confirmar na pergunta "Tem certeza?"
4. Consultar a transação no gateway</t>
        </is>
      </c>
      <c r="J11" s="5" t="inlineStr">
        <is>
          <t>Gateway não mostra reembolso para a assinatura (nenhum lançamento de R$ 0,00 nem valor negativo)</t>
        </is>
      </c>
      <c r="K11" s="5" t="inlineStr">
        <is>
          <t>D2 (bloqueia)
Suposição: Reembolso proporcional = meses não usados × R$ 33,25 (R$ 399,00 / 12), e o mês em curso conta como usado</t>
        </is>
      </c>
      <c r="L11" s="5" t="inlineStr">
        <is>
          <t>Bloqueado</t>
        </is>
      </c>
      <c r="M11" s="5" t="inlineStr"/>
      <c r="N11" s="5" t="inlineStr"/>
      <c r="O11" s="5" t="inlineStr"/>
      <c r="P11" s="5" t="inlineStr"/>
      <c r="Q11" s="5" t="inlineStr"/>
    </row>
    <row r="12">
      <c r="A12" s="5" t="inlineStr">
        <is>
          <t>CT-11</t>
        </is>
      </c>
      <c r="B12" s="5" t="inlineStr">
        <is>
          <t>Anual cancelado no 4º mês mantém acesso até o fim do mês em curso</t>
        </is>
      </c>
      <c r="C12" s="5" t="inlineStr">
        <is>
          <t>CA4, CA6</t>
        </is>
      </c>
      <c r="D12" s="5" t="inlineStr">
        <is>
          <t>positivo</t>
        </is>
      </c>
      <c r="E12" s="5" t="inlineStr">
        <is>
          <t>transição de estado</t>
        </is>
      </c>
      <c r="F12" s="5" t="inlineStr">
        <is>
          <t>Média</t>
        </is>
      </c>
      <c r="G12" s="5" t="inlineStr">
        <is>
          <t>• Usuário qa.cancel07@nexi.test com plano Anual cancelado no 4º mês (mesmo usuário de CT-08)
• Data do ambiente avançada em 5 dias, ainda dentro do 4º mês</t>
        </is>
      </c>
      <c r="H12" s="5" t="inlineStr">
        <is>
          <t>usuário: qa.cancel07@nexi.test
título de teste: QA-001</t>
        </is>
      </c>
      <c r="I12" s="5" t="inlineStr">
        <is>
          <t>1. Abrir o app logado como qa.cancel07@nexi.test
2. Buscar o título QA-001
3. Tocar em reproduzir</t>
        </is>
      </c>
      <c r="J12" s="5" t="inlineStr">
        <is>
          <t>O player reproduz QA-001 e o contador de tempo avança</t>
        </is>
      </c>
      <c r="K12" s="5" t="inlineStr"/>
      <c r="L12" s="5" t="inlineStr">
        <is>
          <t>Não executado</t>
        </is>
      </c>
      <c r="M12" s="5" t="inlineStr"/>
      <c r="N12" s="5" t="inlineStr"/>
      <c r="O12" s="5" t="inlineStr"/>
      <c r="P12" s="5" t="inlineStr"/>
      <c r="Q12" s="5" t="inlineStr"/>
    </row>
    <row r="13">
      <c r="A13" s="5" t="inlineStr">
        <is>
          <t>CT-12</t>
        </is>
      </c>
      <c r="B13" s="5" t="inlineStr">
        <is>
          <t>Tocar em Cancelar mostra a pergunta "Tem certeza?" antes de cancelar</t>
        </is>
      </c>
      <c r="C13" s="5" t="inlineStr">
        <is>
          <t>CA2</t>
        </is>
      </c>
      <c r="D13" s="5" t="inlineStr">
        <is>
          <t>positivo</t>
        </is>
      </c>
      <c r="E13" s="5" t="inlineStr">
        <is>
          <t>caminho feliz</t>
        </is>
      </c>
      <c r="F13" s="5" t="inlineStr">
        <is>
          <t>Média</t>
        </is>
      </c>
      <c r="G13" s="5" t="inlineStr">
        <is>
          <t>• Usuário qa.cancel10@nexi.test com plano Mensal R$ 39,90 ativo há 3 dias</t>
        </is>
      </c>
      <c r="H13" s="5" t="inlineStr">
        <is>
          <t>usuário: qa.cancel10@nexi.test</t>
        </is>
      </c>
      <c r="I13" s="5" t="inlineStr">
        <is>
          <t>1. Acessar Conta &gt; Assinatura
2. Tocar em Cancelar
3. Sem responder a pergunta, consultar o gateway e a caixa de qa.cancel10@nexi.test</t>
        </is>
      </c>
      <c r="J13" s="5" t="inlineStr">
        <is>
          <t>Aparece a pergunta "Tem certeza?"; o gateway não mostra reembolso e nenhum e-mail de cancelamento chegou</t>
        </is>
      </c>
      <c r="K13" s="5" t="inlineStr"/>
      <c r="L13" s="5" t="inlineStr">
        <is>
          <t>Não executado</t>
        </is>
      </c>
      <c r="M13" s="5" t="inlineStr"/>
      <c r="N13" s="5" t="inlineStr"/>
      <c r="O13" s="5" t="inlineStr"/>
      <c r="P13" s="5" t="inlineStr"/>
      <c r="Q13" s="5" t="inlineStr"/>
    </row>
    <row r="14">
      <c r="A14" s="5" t="inlineStr">
        <is>
          <t>CT-13</t>
        </is>
      </c>
      <c r="B14" s="5" t="inlineStr">
        <is>
          <t>Desistir na pergunta "Tem certeza?" não cancela a assinatura</t>
        </is>
      </c>
      <c r="C14" s="5" t="inlineStr">
        <is>
          <t>CA1, CA2, CA7</t>
        </is>
      </c>
      <c r="D14" s="5" t="inlineStr">
        <is>
          <t>negativo</t>
        </is>
      </c>
      <c r="E14" s="5" t="inlineStr">
        <is>
          <t>suposição de erro</t>
        </is>
      </c>
      <c r="F14" s="5" t="inlineStr">
        <is>
          <t>Média</t>
        </is>
      </c>
      <c r="G14" s="5" t="inlineStr">
        <is>
          <t>• Usuário qa.cancel10@nexi.test com plano Mensal R$ 39,90 ativo há 3 dias</t>
        </is>
      </c>
      <c r="H14" s="5" t="inlineStr">
        <is>
          <t>usuário: qa.cancel10@nexi.test</t>
        </is>
      </c>
      <c r="I14" s="5" t="inlineStr">
        <is>
          <t>1. Acessar Conta &gt; Assinatura
2. Tocar em Cancelar
3. Desistir na pergunta "Tem certeza?" (opção de não confirmar ou fechar o diálogo)
4. Consultar o gateway, a caixa de e-mail e o status da assinatura no banco</t>
        </is>
      </c>
      <c r="J14" s="5" t="inlineStr">
        <is>
          <t>Status da assinatura no banco continua ativa; gateway sem reembolso; nenhum e-mail de cancelamento em qa.cancel10@nexi.test</t>
        </is>
      </c>
      <c r="K14" s="5" t="inlineStr"/>
      <c r="L14" s="5" t="inlineStr">
        <is>
          <t>Não executado</t>
        </is>
      </c>
      <c r="M14" s="5" t="inlineStr"/>
      <c r="N14" s="5" t="inlineStr"/>
      <c r="O14" s="5" t="inlineStr"/>
      <c r="P14" s="5" t="inlineStr"/>
      <c r="Q14" s="5" t="inlineStr"/>
    </row>
    <row r="15">
      <c r="A15" s="5" t="inlineStr">
        <is>
          <t>CT-14</t>
        </is>
      </c>
      <c r="B15" s="5" t="inlineStr">
        <is>
          <t>Cancelamento confirmado envia e-mail de confirmação</t>
        </is>
      </c>
      <c r="C15" s="5" t="inlineStr">
        <is>
          <t>CA7</t>
        </is>
      </c>
      <c r="D15" s="5" t="inlineStr">
        <is>
          <t>positivo</t>
        </is>
      </c>
      <c r="E15" s="5" t="inlineStr">
        <is>
          <t>caminho feliz</t>
        </is>
      </c>
      <c r="F15" s="5" t="inlineStr">
        <is>
          <t>Média</t>
        </is>
      </c>
      <c r="G15" s="5" t="inlineStr">
        <is>
          <t>• Usuário qa.cancel11@nexi.test com plano Mensal R$ 39,90 ativo há 15 dias; caixa de e-mail vazia</t>
        </is>
      </c>
      <c r="H15" s="5" t="inlineStr">
        <is>
          <t>usuário: qa.cancel11@nexi.test</t>
        </is>
      </c>
      <c r="I15" s="5" t="inlineStr">
        <is>
          <t>1. Acessar Conta &gt; Assinatura
2. Tocar em Cancelar
3. Confirmar na pergunta "Tem certeza?"
4. Abrir a caixa de qa.cancel11@nexi.test</t>
        </is>
      </c>
      <c r="J15" s="5" t="inlineStr">
        <is>
          <t>Chega em qa.cancel11@nexi.test um e-mail confirmando o cancelamento da assinatura</t>
        </is>
      </c>
      <c r="K15" s="5" t="inlineStr"/>
      <c r="L15" s="5" t="inlineStr">
        <is>
          <t>Não executado</t>
        </is>
      </c>
      <c r="M15" s="5" t="inlineStr"/>
      <c r="N15" s="5" t="inlineStr"/>
      <c r="O15" s="5" t="inlineStr"/>
      <c r="P15" s="5" t="inlineStr"/>
      <c r="Q15" s="5" t="inlineStr"/>
    </row>
    <row r="16">
      <c r="A16" s="5" t="inlineStr">
        <is>
          <t>CT-15</t>
        </is>
      </c>
      <c r="B16" s="5" t="inlineStr">
        <is>
          <t>Toque duplo em confirmar registra um só reembolso</t>
        </is>
      </c>
      <c r="C16" s="5" t="inlineStr">
        <is>
          <t>CA3</t>
        </is>
      </c>
      <c r="D16" s="5" t="inlineStr">
        <is>
          <t>negativo</t>
        </is>
      </c>
      <c r="E16" s="5" t="inlineStr">
        <is>
          <t>suposição de erro</t>
        </is>
      </c>
      <c r="F16" s="5" t="inlineStr">
        <is>
          <t>Alta</t>
        </is>
      </c>
      <c r="G16" s="5" t="inlineStr">
        <is>
          <t>• Usuário qa.cancel12@nexi.test com plano Mensal R$ 39,90 contratado há 2 dias</t>
        </is>
      </c>
      <c r="H16" s="5" t="inlineStr">
        <is>
          <t>usuário: qa.cancel12@nexi.test
plano: Mensal R$ 39,90</t>
        </is>
      </c>
      <c r="I16" s="5" t="inlineStr">
        <is>
          <t>1. Acessar Conta &gt; Assinatura
2. Tocar em Cancelar
3. Tocar duas vezes seguidas na confirmação da pergunta "Tem certeza?"
4. Consultar a transação no gateway</t>
        </is>
      </c>
      <c r="J16" s="5" t="inlineStr">
        <is>
          <t>Gateway mostra exatamente um reembolso de R$ 39,90 (total reembolsado R$ 39,90)</t>
        </is>
      </c>
      <c r="K16" s="5" t="inlineStr"/>
      <c r="L16" s="5" t="inlineStr">
        <is>
          <t>Não executado</t>
        </is>
      </c>
      <c r="M16" s="5" t="inlineStr"/>
      <c r="N16" s="5" t="inlineStr"/>
      <c r="O16" s="5" t="inlineStr"/>
      <c r="P16" s="5" t="inlineStr"/>
      <c r="Q16" s="5" t="inlineStr"/>
    </row>
    <row r="17">
      <c r="A17" s="5" t="inlineStr">
        <is>
          <t>CT-16</t>
        </is>
      </c>
      <c r="B17" s="5" t="inlineStr">
        <is>
          <t>Assinatura já cancelada não recebe segundo reembolso</t>
        </is>
      </c>
      <c r="C17" s="5" t="inlineStr">
        <is>
          <t>CA1, CA3</t>
        </is>
      </c>
      <c r="D17" s="5" t="inlineStr">
        <is>
          <t>negativo</t>
        </is>
      </c>
      <c r="E17" s="5" t="inlineStr">
        <is>
          <t>transição de estado</t>
        </is>
      </c>
      <c r="F17" s="5" t="inlineStr">
        <is>
          <t>Média</t>
        </is>
      </c>
      <c r="G17" s="5" t="inlineStr">
        <is>
          <t>• Usuário qa.cancel01@nexi.test com plano Mensal já cancelado no 3º dia e reembolsado em R$ 39,90 (estado final de CT-01)</t>
        </is>
      </c>
      <c r="H17" s="5" t="inlineStr">
        <is>
          <t>usuário: qa.cancel01@nexi.test</t>
        </is>
      </c>
      <c r="I17" s="5" t="inlineStr">
        <is>
          <t>1. Acessar Conta &gt; Assinatura
2. Tentar tocar em Cancelar de novo e confirmar, se a opção existir
3. Consultar a transação no gateway</t>
        </is>
      </c>
      <c r="J17" s="5" t="inlineStr">
        <is>
          <t>Gateway continua com um único reembolso de R$ 39,90 (total reembolsado R$ 39,90)</t>
        </is>
      </c>
      <c r="K17" s="5" t="inlineStr"/>
      <c r="L17" s="5" t="inlineStr">
        <is>
          <t>Não executado</t>
        </is>
      </c>
      <c r="M17" s="5" t="inlineStr"/>
      <c r="N17" s="5" t="inlineStr"/>
      <c r="O17" s="5" t="inlineStr"/>
      <c r="P17" s="5" t="inlineStr"/>
      <c r="Q17" s="5" t="inlineStr"/>
    </row>
  </sheetData>
  <autoFilter ref="A1:Q17"/>
  <conditionalFormatting sqref="L2:L17">
    <cfRule type="cellIs" priority="1" operator="equal" dxfId="0">
      <formula>"Passou"</formula>
    </cfRule>
    <cfRule type="cellIs" priority="2" operator="equal" dxfId="1">
      <formula>"Falhou"</formula>
    </cfRule>
    <cfRule type="cellIs" priority="3" operator="equal" dxfId="2">
      <formula>"Bloqueado"</formula>
    </cfRule>
  </conditionalFormatting>
  <dataValidations count="1">
    <dataValidation sqref="L2:L17" showDropDown="0" showInputMessage="0" showErrorMessage="0" allowBlank="0" type="list">
      <formula1>"Não executado,Passou,Falhou,Bloqueado"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9" customWidth="1" min="19" max="19"/>
  </cols>
  <sheetData>
    <row r="1">
      <c r="A1" s="4" t="inlineStr">
        <is>
          <t>Critério</t>
        </is>
      </c>
      <c r="B1" s="4" t="inlineStr">
        <is>
          <t>Descrição</t>
        </is>
      </c>
      <c r="C1" s="4" t="inlineStr">
        <is>
          <t>CT-01</t>
        </is>
      </c>
      <c r="D1" s="4" t="inlineStr">
        <is>
          <t>CT-02</t>
        </is>
      </c>
      <c r="E1" s="4" t="inlineStr">
        <is>
          <t>CT-03</t>
        </is>
      </c>
      <c r="F1" s="4" t="inlineStr">
        <is>
          <t>CT-04</t>
        </is>
      </c>
      <c r="G1" s="4" t="inlineStr">
        <is>
          <t>CT-05</t>
        </is>
      </c>
      <c r="H1" s="4" t="inlineStr">
        <is>
          <t>CT-06</t>
        </is>
      </c>
      <c r="I1" s="4" t="inlineStr">
        <is>
          <t>CT-07</t>
        </is>
      </c>
      <c r="J1" s="4" t="inlineStr">
        <is>
          <t>CT-08</t>
        </is>
      </c>
      <c r="K1" s="4" t="inlineStr">
        <is>
          <t>CT-09</t>
        </is>
      </c>
      <c r="L1" s="4" t="inlineStr">
        <is>
          <t>CT-10</t>
        </is>
      </c>
      <c r="M1" s="4" t="inlineStr">
        <is>
          <t>CT-11</t>
        </is>
      </c>
      <c r="N1" s="4" t="inlineStr">
        <is>
          <t>CT-12</t>
        </is>
      </c>
      <c r="O1" s="4" t="inlineStr">
        <is>
          <t>CT-13</t>
        </is>
      </c>
      <c r="P1" s="4" t="inlineStr">
        <is>
          <t>CT-14</t>
        </is>
      </c>
      <c r="Q1" s="4" t="inlineStr">
        <is>
          <t>CT-15</t>
        </is>
      </c>
      <c r="R1" s="4" t="inlineStr">
        <is>
          <t>CT-16</t>
        </is>
      </c>
      <c r="S1" s="4" t="inlineStr">
        <is>
          <t>Nº casos</t>
        </is>
      </c>
    </row>
    <row r="2">
      <c r="A2" t="inlineStr">
        <is>
          <t>CA1</t>
        </is>
      </c>
      <c r="B2" s="5" t="inlineStr">
        <is>
          <t>Assinante cancela pelo app a qualquer momento em Conta &gt; Assinatura &gt; Cancelar</t>
        </is>
      </c>
      <c r="C2" s="6" t="inlineStr">
        <is>
          <t>X</t>
        </is>
      </c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>
        <is>
          <t>X</t>
        </is>
      </c>
      <c r="P2" s="6" t="inlineStr"/>
      <c r="Q2" s="6" t="inlineStr"/>
      <c r="R2" s="6" t="inlineStr">
        <is>
          <t>X</t>
        </is>
      </c>
      <c r="S2" s="6" t="n">
        <v>3</v>
      </c>
    </row>
    <row r="3">
      <c r="A3" t="inlineStr">
        <is>
          <t>CA2</t>
        </is>
      </c>
      <c r="B3" s="5" t="inlineStr">
        <is>
          <t>Antes de cancelar, o app pede confirmação ("Tem certeza?")</t>
        </is>
      </c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>
        <is>
          <t>X</t>
        </is>
      </c>
      <c r="O3" s="6" t="inlineStr">
        <is>
          <t>X</t>
        </is>
      </c>
      <c r="P3" s="6" t="inlineStr"/>
      <c r="Q3" s="6" t="inlineStr"/>
      <c r="R3" s="6" t="inlineStr"/>
      <c r="S3" s="6" t="n">
        <v>2</v>
      </c>
    </row>
    <row r="4">
      <c r="A4" t="inlineStr">
        <is>
          <t>CA3</t>
        </is>
      </c>
      <c r="B4" s="5" t="inlineStr">
        <is>
          <t>Cancelamento em até 7 dias da contratação tem reembolso integral</t>
        </is>
      </c>
      <c r="C4" s="6" t="inlineStr">
        <is>
          <t>X</t>
        </is>
      </c>
      <c r="D4" s="6" t="inlineStr">
        <is>
          <t>X</t>
        </is>
      </c>
      <c r="E4" s="6" t="inlineStr">
        <is>
          <t>X</t>
        </is>
      </c>
      <c r="F4" s="6" t="inlineStr">
        <is>
          <t>X</t>
        </is>
      </c>
      <c r="G4" s="6" t="inlineStr"/>
      <c r="H4" s="6" t="inlineStr"/>
      <c r="I4" s="6" t="inlineStr"/>
      <c r="J4" s="6" t="inlineStr"/>
      <c r="K4" s="6" t="inlineStr">
        <is>
          <t>X</t>
        </is>
      </c>
      <c r="L4" s="6" t="inlineStr"/>
      <c r="M4" s="6" t="inlineStr"/>
      <c r="N4" s="6" t="inlineStr"/>
      <c r="O4" s="6" t="inlineStr"/>
      <c r="P4" s="6" t="inlineStr"/>
      <c r="Q4" s="6" t="inlineStr">
        <is>
          <t>X</t>
        </is>
      </c>
      <c r="R4" s="6" t="inlineStr">
        <is>
          <t>X</t>
        </is>
      </c>
      <c r="S4" s="6" t="n">
        <v>7</v>
      </c>
    </row>
    <row r="5">
      <c r="A5" t="inlineStr">
        <is>
          <t>CA4</t>
        </is>
      </c>
      <c r="B5" s="5" t="inlineStr">
        <is>
          <t>Cancelamento depois de 7 dias mantém o acesso até o fim do período já pago</t>
        </is>
      </c>
      <c r="C5" s="6" t="inlineStr"/>
      <c r="D5" s="6" t="inlineStr"/>
      <c r="E5" s="6" t="inlineStr"/>
      <c r="F5" s="6" t="inlineStr"/>
      <c r="G5" s="6" t="inlineStr">
        <is>
          <t>X</t>
        </is>
      </c>
      <c r="H5" s="6" t="inlineStr">
        <is>
          <t>X</t>
        </is>
      </c>
      <c r="I5" s="6" t="inlineStr"/>
      <c r="J5" s="6" t="inlineStr"/>
      <c r="K5" s="6" t="inlineStr"/>
      <c r="L5" s="6" t="inlineStr"/>
      <c r="M5" s="6" t="inlineStr">
        <is>
          <t>X</t>
        </is>
      </c>
      <c r="N5" s="6" t="inlineStr"/>
      <c r="O5" s="6" t="inlineStr"/>
      <c r="P5" s="6" t="inlineStr"/>
      <c r="Q5" s="6" t="inlineStr"/>
      <c r="R5" s="6" t="inlineStr"/>
      <c r="S5" s="6" t="n">
        <v>3</v>
      </c>
    </row>
    <row r="6">
      <c r="A6" t="inlineStr">
        <is>
          <t>CA5</t>
        </is>
      </c>
      <c r="B6" s="5" t="inlineStr">
        <is>
          <t>Cancelamento depois de 7 dias não gera nova cobrança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>
        <is>
          <t>X</t>
        </is>
      </c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n">
        <v>1</v>
      </c>
    </row>
    <row r="7">
      <c r="A7" t="inlineStr">
        <is>
          <t>CA6</t>
        </is>
      </c>
      <c r="B7" s="5" t="inlineStr">
        <is>
          <t>Plano anual cancelado depois de 7 dias tem reembolso proporcional aos meses não usados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>
        <is>
          <t>X</t>
        </is>
      </c>
      <c r="K7" s="6" t="inlineStr">
        <is>
          <t>X</t>
        </is>
      </c>
      <c r="L7" s="6" t="inlineStr">
        <is>
          <t>X</t>
        </is>
      </c>
      <c r="M7" s="6" t="inlineStr">
        <is>
          <t>X</t>
        </is>
      </c>
      <c r="N7" s="6" t="inlineStr"/>
      <c r="O7" s="6" t="inlineStr"/>
      <c r="P7" s="6" t="inlineStr"/>
      <c r="Q7" s="6" t="inlineStr"/>
      <c r="R7" s="6" t="inlineStr"/>
      <c r="S7" s="6" t="n">
        <v>4</v>
      </c>
    </row>
    <row r="8">
      <c r="A8" t="inlineStr">
        <is>
          <t>CA7</t>
        </is>
      </c>
      <c r="B8" s="5" t="inlineStr">
        <is>
          <t>Um e-mail confirma o cancelamento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>
        <is>
          <t>X</t>
        </is>
      </c>
      <c r="P8" s="6" t="inlineStr">
        <is>
          <t>X</t>
        </is>
      </c>
      <c r="Q8" s="6" t="inlineStr"/>
      <c r="R8" s="6" t="inlineStr"/>
      <c r="S8" s="6" t="n">
        <v>2</v>
      </c>
    </row>
  </sheetData>
  <conditionalFormatting sqref="S2:S8">
    <cfRule type="cellIs" priority="1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30" customWidth="1" min="4" max="4"/>
    <col width="40" customWidth="1" min="5" max="5"/>
    <col width="16" customWidth="1" min="6" max="6"/>
  </cols>
  <sheetData>
    <row r="1">
      <c r="A1" s="4" t="inlineStr">
        <is>
          <t>Nº</t>
        </is>
      </c>
      <c r="B1" s="4" t="inlineStr">
        <is>
          <t>Dúvida</t>
        </is>
      </c>
      <c r="C1" s="4" t="inlineStr">
        <is>
          <t>Critério</t>
        </is>
      </c>
      <c r="D1" s="4" t="inlineStr">
        <is>
          <t>Impacto</t>
        </is>
      </c>
      <c r="E1" s="4" t="inlineStr">
        <is>
          <t>Resposta do PO</t>
        </is>
      </c>
      <c r="F1" s="4" t="inlineStr">
        <is>
          <t>Respondido por</t>
        </is>
      </c>
    </row>
    <row r="2">
      <c r="A2" s="5" t="inlineStr">
        <is>
          <t>D1</t>
        </is>
      </c>
      <c r="B2" s="5" t="inlineStr">
        <is>
          <t>Como contam os 7 dias? O dia da contratação é o dia 0 ou o dia 1? Conta por data (dias corridos) ou por 7 × 24 h a partir da hora da contratação? Em qual fuso?</t>
        </is>
      </c>
      <c r="C2" s="5" t="inlineStr">
        <is>
          <t>CA3</t>
        </is>
      </c>
      <c r="D2" s="5" t="inlineStr">
        <is>
          <t>Define qual é o último dia com reembolso integral; os casos de limite usam a suposição de dia 0 e dias corridos</t>
        </is>
      </c>
      <c r="E2" s="5" t="inlineStr"/>
      <c r="F2" s="5" t="inlineStr"/>
    </row>
    <row r="3">
      <c r="A3" s="5" t="inlineStr">
        <is>
          <t>D2</t>
        </is>
      </c>
      <c r="B3" s="5" t="inlineStr">
        <is>
          <t>Como se calcula o reembolso proporcional do anual? Base de R$ 399,00 / 12 = R$ 33,25 por mês ou outra (ex.: mês usado cobrado a R$ 39,90)? O mês em curso conta como usado? Como arredondar centavos?</t>
        </is>
      </c>
      <c r="C3" s="5" t="inlineStr">
        <is>
          <t>CA6</t>
        </is>
      </c>
      <c r="D3" s="5" t="inlineStr">
        <is>
          <t>Muda o valor esperado do reembolso (ex.: no 4º mês, R$ 266,00 se o mês em curso conta como usado; R$ 299,25 se não conta)</t>
        </is>
      </c>
      <c r="E3" s="5" t="inlineStr"/>
      <c r="F3" s="5" t="inlineStr"/>
    </row>
    <row r="4">
      <c r="A4" s="5" t="inlineStr">
        <is>
          <t>D3</t>
        </is>
      </c>
      <c r="B4" s="5" t="inlineStr">
        <is>
          <t>O texto diz que, passados 7 dias, o assinante mantém acesso até o fim do período pago, e também que o anual tem reembolso dos meses não usados. No anual cancelado depois de 7 dias, o acesso vai até o fim do mês em curso ou até o fim do ano contratado (mesmo com reembolso)?</t>
        </is>
      </c>
      <c r="C4" s="5" t="inlineStr">
        <is>
          <t>CA4, CA6</t>
        </is>
      </c>
      <c r="D4" s="5" t="inlineStr">
        <is>
          <t>Contradição: falta o caso de acesso do anual depois do mês em curso. CT-11 só confere o que vale nas duas leituras (acesso dentro do mês em curso)</t>
        </is>
      </c>
      <c r="E4" s="5" t="inlineStr"/>
      <c r="F4" s="5" t="inlineStr"/>
    </row>
    <row r="5">
      <c r="A5" s="5" t="inlineStr">
        <is>
          <t>D4</t>
        </is>
      </c>
      <c r="B5" s="5" t="inlineStr">
        <is>
          <t>Mensal cancelado depois de 7 dias fica sem nenhum reembolso? O texto só fala de reembolso em até 7 dias e no anual.</t>
        </is>
      </c>
      <c r="C5" s="5" t="inlineStr">
        <is>
          <t>CA3, CA6</t>
        </is>
      </c>
      <c r="D5" s="5" t="inlineStr">
        <is>
          <t>CT-04 assume que não há reembolso (ver suposição)</t>
        </is>
      </c>
      <c r="E5" s="5" t="inlineStr"/>
      <c r="F5" s="5" t="inlineStr"/>
    </row>
    <row r="6">
      <c r="A6" s="5" t="inlineStr">
        <is>
          <t>D5</t>
        </is>
      </c>
      <c r="B6" s="5" t="inlineStr">
        <is>
          <t>Quem cancela em até 7 dias (com reembolso integral) perde o acesso na hora ou mantém até o fim do período?</t>
        </is>
      </c>
      <c r="C6" s="5" t="inlineStr">
        <is>
          <t>CA3, CA4</t>
        </is>
      </c>
      <c r="D6" s="5" t="inlineStr">
        <is>
          <t>Sem caso de acesso para cancelamento em até 7 dias; será criado com a resposta</t>
        </is>
      </c>
      <c r="E6" s="5" t="inlineStr"/>
      <c r="F6" s="5" t="inlineStr"/>
    </row>
    <row r="7">
      <c r="A7" s="5" t="inlineStr">
        <is>
          <t>D6</t>
        </is>
      </c>
      <c r="B7" s="5" t="inlineStr">
        <is>
          <t>O que o app mostra ao abrir Conta &gt; Assinatura de uma assinatura já cancelada (botão Cancelar some, fica desabilitado, aparece mensagem)? E qual o texto dos botões da confirmação?</t>
        </is>
      </c>
      <c r="C7" s="5" t="inlineStr">
        <is>
          <t>CA1, CA2</t>
        </is>
      </c>
      <c r="D7" s="5" t="inlineStr">
        <is>
          <t>CT-13 e CT-16 conferem só gateway, banco e e-mail, não a tela</t>
        </is>
      </c>
      <c r="E7" s="5" t="inlineStr"/>
      <c r="F7" s="5" t="inlineStr"/>
    </row>
    <row r="8">
      <c r="A8" s="5" t="inlineStr">
        <is>
          <t>D7</t>
        </is>
      </c>
      <c r="B8" s="5" t="inlineStr">
        <is>
          <t>O que o e-mail de confirmação precisa conter (valor do reembolso, data de fim do acesso) e em quanto tempo deve chegar? O reembolso volta para o meio de pagamento original e em que prazo?</t>
        </is>
      </c>
      <c r="C8" s="5" t="inlineStr">
        <is>
          <t>CA7, CA3, CA6</t>
        </is>
      </c>
      <c r="D8" s="5" t="inlineStr">
        <is>
          <t>CT-14 confere só que o e-mail chega; casos de reembolso conferem o registro no gateway, não o estorno no cartão</t>
        </is>
      </c>
      <c r="E8" s="5" t="inlineStr"/>
      <c r="F8" s="5" t="inlineStr"/>
    </row>
    <row r="9">
      <c r="A9" s="5" t="inlineStr">
        <is>
          <t>D8</t>
        </is>
      </c>
      <c r="B9" s="5" t="inlineStr">
        <is>
          <t>A regra vale para assinaturas feitas por App Store/Google Play, para teste grátis e para cancelamento pela web, ou só para quem assinou e cancela pelo app?</t>
        </is>
      </c>
      <c r="C9" s="5" t="inlineStr">
        <is>
          <t>CA1</t>
        </is>
      </c>
      <c r="D9" s="5" t="inlineStr">
        <is>
          <t>Pode exigir casos adicionais por canal de compra</t>
        </is>
      </c>
      <c r="E9" s="5" t="inlineStr"/>
      <c r="F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2026-10-14T13:25:46Z</dcterms:created>
  <dcterms:modified xsi:type="dcterms:W3CDTF">2026-10-14T13:25:46Z</dcterms:modified>
</cp:coreProperties>
</file>